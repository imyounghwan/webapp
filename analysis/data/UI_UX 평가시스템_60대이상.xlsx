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ung Young Joon\Desktop\"/>
    </mc:Choice>
  </mc:AlternateContent>
  <bookViews>
    <workbookView xWindow="0" yWindow="0" windowWidth="28800" windowHeight="12285"/>
  </bookViews>
  <sheets>
    <sheet name="국민평가_60대이상" sheetId="6" r:id="rId1"/>
  </sheets>
  <calcPr calcId="162913"/>
</workbook>
</file>

<file path=xl/calcChain.xml><?xml version="1.0" encoding="utf-8"?>
<calcChain xmlns="http://schemas.openxmlformats.org/spreadsheetml/2006/main">
  <c r="S50" i="6" l="1"/>
  <c r="R50" i="6"/>
  <c r="Q50" i="6"/>
  <c r="S49" i="6"/>
  <c r="R49" i="6"/>
  <c r="Q49" i="6"/>
  <c r="S48" i="6"/>
  <c r="R48" i="6"/>
  <c r="Q48" i="6"/>
  <c r="S47" i="6"/>
  <c r="R47" i="6"/>
  <c r="Q47" i="6"/>
  <c r="S46" i="6"/>
  <c r="R46" i="6"/>
  <c r="Q46" i="6"/>
  <c r="S45" i="6"/>
  <c r="R45" i="6"/>
  <c r="Q45" i="6"/>
  <c r="S44" i="6"/>
  <c r="R44" i="6"/>
  <c r="Q44" i="6"/>
  <c r="S43" i="6"/>
  <c r="R43" i="6"/>
  <c r="Q43" i="6"/>
  <c r="S42" i="6"/>
  <c r="R42" i="6"/>
  <c r="Q42" i="6"/>
  <c r="S41" i="6"/>
  <c r="R41" i="6"/>
  <c r="Q41" i="6"/>
  <c r="S40" i="6"/>
  <c r="R40" i="6"/>
  <c r="Q40" i="6"/>
  <c r="S39" i="6"/>
  <c r="R39" i="6"/>
  <c r="Q39" i="6"/>
  <c r="S38" i="6"/>
  <c r="R38" i="6"/>
  <c r="Q38" i="6"/>
  <c r="S37" i="6"/>
  <c r="R37" i="6"/>
  <c r="Q37" i="6"/>
  <c r="S36" i="6"/>
  <c r="R36" i="6"/>
  <c r="Q36" i="6"/>
  <c r="S35" i="6"/>
  <c r="R35" i="6"/>
  <c r="Q35" i="6"/>
  <c r="S34" i="6"/>
  <c r="R34" i="6"/>
  <c r="Q34" i="6"/>
  <c r="S33" i="6"/>
  <c r="R33" i="6"/>
  <c r="Q33" i="6"/>
  <c r="S32" i="6"/>
  <c r="R32" i="6"/>
  <c r="Q32" i="6"/>
  <c r="S31" i="6"/>
  <c r="R31" i="6"/>
  <c r="Q31" i="6"/>
  <c r="S30" i="6"/>
  <c r="R30" i="6"/>
  <c r="Q30" i="6"/>
  <c r="S29" i="6"/>
  <c r="R29" i="6"/>
  <c r="Q29" i="6"/>
  <c r="S28" i="6"/>
  <c r="R28" i="6"/>
  <c r="Q28" i="6"/>
  <c r="S27" i="6"/>
  <c r="R27" i="6"/>
  <c r="Q27" i="6"/>
  <c r="S26" i="6"/>
  <c r="R26" i="6"/>
  <c r="Q26" i="6"/>
  <c r="S25" i="6"/>
  <c r="R25" i="6"/>
  <c r="Q25" i="6"/>
  <c r="S24" i="6"/>
  <c r="R24" i="6"/>
  <c r="Q24" i="6"/>
  <c r="S23" i="6"/>
  <c r="R23" i="6"/>
  <c r="Q23" i="6"/>
  <c r="S22" i="6"/>
  <c r="R22" i="6"/>
  <c r="Q22" i="6"/>
  <c r="S21" i="6"/>
  <c r="R21" i="6"/>
  <c r="Q21" i="6"/>
  <c r="S20" i="6"/>
  <c r="R20" i="6"/>
  <c r="Q20" i="6"/>
  <c r="S19" i="6"/>
  <c r="R19" i="6"/>
  <c r="Q19" i="6"/>
  <c r="S18" i="6"/>
  <c r="R18" i="6"/>
  <c r="Q18" i="6"/>
  <c r="S17" i="6"/>
  <c r="R17" i="6"/>
  <c r="Q17" i="6"/>
  <c r="S16" i="6"/>
  <c r="R16" i="6"/>
  <c r="Q16" i="6"/>
  <c r="S15" i="6"/>
  <c r="R15" i="6"/>
  <c r="Q15" i="6"/>
  <c r="S14" i="6"/>
  <c r="R14" i="6"/>
  <c r="Q14" i="6"/>
  <c r="S13" i="6"/>
  <c r="R13" i="6"/>
  <c r="Q13" i="6"/>
  <c r="S12" i="6"/>
  <c r="R12" i="6"/>
  <c r="Q12" i="6"/>
  <c r="S11" i="6"/>
  <c r="R11" i="6"/>
  <c r="Q11" i="6"/>
  <c r="S10" i="6"/>
  <c r="R10" i="6"/>
  <c r="Q10" i="6"/>
  <c r="S9" i="6"/>
  <c r="R9" i="6"/>
  <c r="Q9" i="6"/>
  <c r="S8" i="6"/>
  <c r="R8" i="6"/>
  <c r="Q8" i="6"/>
  <c r="S7" i="6"/>
  <c r="R7" i="6"/>
  <c r="Q7" i="6"/>
  <c r="S6" i="6"/>
  <c r="R6" i="6"/>
  <c r="Q6" i="6"/>
  <c r="S5" i="6"/>
  <c r="R5" i="6"/>
  <c r="Q5" i="6"/>
  <c r="S4" i="6"/>
  <c r="R4" i="6"/>
  <c r="Q4" i="6"/>
  <c r="S3" i="6"/>
  <c r="R3" i="6"/>
  <c r="Q3" i="6"/>
  <c r="S2" i="6"/>
  <c r="R2" i="6"/>
  <c r="Q2" i="6"/>
</calcChain>
</file>

<file path=xl/sharedStrings.xml><?xml version="1.0" encoding="utf-8"?>
<sst xmlns="http://schemas.openxmlformats.org/spreadsheetml/2006/main" count="263" uniqueCount="245">
  <si>
    <t>기관명</t>
  </si>
  <si>
    <t xml:space="preserve">사이트 </t>
  </si>
  <si>
    <t>사이트주소</t>
  </si>
  <si>
    <t>평가포인트</t>
  </si>
  <si>
    <t>Task</t>
  </si>
  <si>
    <t>1.원하는 목적을 달성할 수 있었나요?</t>
  </si>
  <si>
    <t>2.서비스 이용이 편리 했나요?</t>
  </si>
  <si>
    <t>3. 전문성 없이도 쉽게 이해할 수 있었나요?</t>
  </si>
  <si>
    <t>4. 어떤 페이지에서 든 메뉴 이동이 쉬웠나요?</t>
  </si>
  <si>
    <t>5. 잘못 입력했을 경우 경고 메시지가 표시되나요?</t>
  </si>
  <si>
    <t>6. 당신이 원하는 서비스(신청, 조회 콘텐츠 상세 등) 이용에 대해 친절하게 설명해 주었나요?</t>
  </si>
  <si>
    <t>7. 시각적으로 서비스의 내용이 잘 구분되어 있나요?</t>
  </si>
  <si>
    <t>8. 제목, 글머리표, 아이콘, 이미지 등이 일관성 있게 배치되어 통일감 있게 느끼셨나요?</t>
  </si>
  <si>
    <t>9. 보편적이고 익숙한 구조를 사용하고 있나요?</t>
  </si>
  <si>
    <t>10. 색상간의 조화가 잘 이루어지고 있나요?</t>
  </si>
  <si>
    <t>편의성평균</t>
  </si>
  <si>
    <t>디자인평균</t>
  </si>
  <si>
    <t>총합평균</t>
  </si>
  <si>
    <t>개인정보보호위원회</t>
  </si>
  <si>
    <t>개인정보 포털</t>
  </si>
  <si>
    <t xml:space="preserve">1. 제공 페이지의 시각적 만족도, 가독성은 어떠한가?
2.자료 열람 및 다운로드 기능이 원활하게 제공되는가?
3. 메뉴가 명확히 구분되고 직관적으로 접근 가능한가?
4. 학습 콘텐츠 접근이 원활한가?
</t>
  </si>
  <si>
    <t xml:space="preserve">1번.
상단메뉴 [개인정보보호란?]에서 "개인정보바로알기"를 클릭한 뒤, '개인정보보호법' 항목을 선택해 페이지 내용을 열람합니다. 페이지 우측 상단에는 '스크랩'과 '인쇄하기' 아이콘이 함께 보이는데, 여기서 '인쇄하기' 아이콘을 클릭하면 출력을 위한 팝업창이 정상적으로 구동되는 것을 확인할 수 있습니다.
2번.
상단메뉴 [자료]에서 "자료보기"를 선택하고, '법령자료' 메뉴로 진입합니다. 화면 중앙 상단에는 두 개의 하위 탭이 있고, 그 아래로 관련 게시물 목록이 나열되어 있음을 확인합니다. 이 중 하나의 게시물을 선택해 우측에 보이는 '법령보기' 버튼을 클릭해서 뷰어 창이 열리며 해당 법령이 표시되는 것을 확인, 뷰어 창의 우측 상단 기능 버튼을 확인하고, '저장하기' 아이콘을 클릭해 파일 다운로드 기능이 정상 동작하는 것도 확인합니다.
3번.
상단메뉴 [개인서비스]의 "정보주체 권리행사"를 클릭해 페이지 중앙의 안내 내용을 읽어봅니다. 페이지 하단에는 '본인확인 내역조회', '웹 사이트 회원 탈퇴', '개인정보 열람 등 신청'의 세 가지 기능 버튼을 확인합니다. 이 중 '웹 사이트 회원 탈퇴'를 선택해 진입하면, 관련 절차와 안내 내용을 상세히 확인해 봅니다.
4번.
상단메뉴 [기업·공공서비스]로 이동해 "개인정보보호도우미"를 선택하고, '개인정보보호 자가진단'을 클릭합니다. 안내 페이지를 확인한 뒤, 화면 내 '자가진단입력 서식'을 선택하고 하단의 "자가진단시작" 버튼을 누르면 자가진단 설문 페이지가 실제로 구동되는 것을 확인합니다.
5번
앞에서 제시한 테스트가 끝났다면 5분 동안 사이트를 자유롭게 이용해주세요. </t>
  </si>
  <si>
    <t>경찰청</t>
  </si>
  <si>
    <t>안전드림</t>
  </si>
  <si>
    <t>https://www.safe182.go.kr</t>
  </si>
  <si>
    <t xml:space="preserve">1. 핵심 기능이 첫 화면 또는 상단 메뉴에서 직관적으로 보이는가?
2.메뉴명이 일반 사용자(비전문가)에게 명확하게 전달되는가?
3.조건검색 창이 시각적으로 잘 노출되어 있으며, 검색 후 결과 확인이 간편한가?
4.글자 크기, 간격, 배치 등 가독성이 좋은가?
</t>
  </si>
  <si>
    <t>1번.
혹시라도 우리 아이 주변에 성범죄자가 있을까 싶어서, 
성범죄자 정보를 확인하기 위해 상단 메뉴 [성범죄] → "성범죄자정보 조회"를 클릭하여 조회 페이지로 이동합니다. 
이 화면에서 우측 상단에 있는 검색창의 '성범죄자 조건검색' 기능을 이용하여 지역 조건 등을 설정하고, 
해당 조건에 부합하는 성범죄자 목록과 이들의 개인 상세 신상 정보를 확인합니다.
2번.
그리고, 학교폭력 관련 정보를 확인하기 위해 상단메뉴 [학교폭력] → "학교폭력" → '학교폭력이란?'을 선택하여
학교폭력의 개념과 관련 내용을 숙지하고, 
페이지 좌측에 위치한 메뉴 중 '피해자보호·지원'을 클릭하여 실제 피해 발생 시 어떤 지원을 받을 수 있는지 확인합니다.
3번.
자녀에게 발생할 수 있는 학교폭력 등의 사안에 대해 신고 방법을 알아보기 위해, 상단메뉴 [신고·상담] → "학교폭력"을 클릭하고 해당 페이지에서 관련 신고 목록을 살펴보고, 우측 하단에 위치한 '신고하기'버튼을 클릭하여 신고서식의 양식을 확인합니다.
4번.
자녀가 스토킹을 당하는 경우를 대비해 스토킹에 대한 개념과 대처법을 알고자
상단 메뉴 [스토킹] → "스토킹이란"을 클릭하고 해당 페이지의 내용을 숙지합니다.
5번.
평소에 법률적 지식을 어느 정도 알고 있어야 겠다는 마음으로 자녀의 보호와 관련된 법률적 기준을 
확인하기 위해, 상단메뉴 [알림마당] → "법률정보"를 클릭합니다. 
관련 게시판 목록 페이지로 이동하여 자녀 보호, 학교폭력, 성범죄 등과 관련된 법률 자료들을 찾아봅니다. 
6번
앞에서 제시한 테스트가 끝났다면 5분 동안 사이트를 자유롭게 이용해주세요.</t>
  </si>
  <si>
    <t>고용노동부</t>
  </si>
  <si>
    <t>대표누리집</t>
  </si>
  <si>
    <t>https://www.moel.go.kr</t>
  </si>
  <si>
    <t>1. 원하는 서비스로  이동이 쉬운가?
2.외부 서비스 연결 시 새 창 안내와 경로 안내가 충분한가?
3. 검색 시 조건 설정, 결과 출력이 신속·명확한가?
4. 자료 첨부파일의 포맷, 용량, 다운로드 속도가 원활한가?</t>
  </si>
  <si>
    <t xml:space="preserve">1번.
상단메뉴 [민원]에서 "민원신청방법"을 선택한 뒤, '민원이용안내'를 클릭해 민원 신청 절차와 방법에 관한 내용을 열람합니다. 이후 좌측 두 번째 메뉴인 "민원신청"을 선택하고, '온라인 민원신청'을 클릭하여 "고용24"로 연결되는 링크 안내가 정상적으로 제공되는지 확인합니다.
2번.
다음으로 상단메뉴 [국민참여]에서 "국민의견"을 클릭하고, 하위 메뉴 중 ‘칭찬합시다’를 선택해 게시판 목록을 확인합니다. 게시글 하나를 열어 상세 내용을 읽고, 좌측 메뉴에서 "규제혁신"을 클릭, 그 안의 ‘규제혁신제안’을 선택합니다. 이때 "규제혁신신문고" 사이트로 연결을 안내하는 메시지가 나타나는 것을 확인합니다.
3번.
이어서 상단메뉴 [뉴스·소식]에서 "공지사항"을 클릭하여 목록 페이지를 확인하고, 상단에 세부 구분 영역이 있는지 살펴본 후, '전체' 목록에서 한 개의 게시물을 선택해 내용을 확인합니다. 이후 좌측 메뉴의 ‘홍보자료’를 클릭하고, ‘홍보동영상’을 선택하여 목록을 확인한 뒤, 홍보 게시물 중 하나를 선택했을 때 영상이 정상적으로 재생되는지도 점검합니다.
4번.
상단메뉴 [정보공개]에서 "체불사업주 명단공개"를 클릭하여 검색 영역과 목록이 표시되는지를 확인합니다. 검색창에 '삼성'을 입력하고 검색 버튼을 눌러, 조건에 맞는 결과물이 출력되는지도 확인합니다.
5번.
마지막으로 상단메뉴 [정책소개]에서 "정책안내"를 클릭하여 정책 분야별 안내 게시물 목록을 확인하고, 한 개 항목을 선택해 상세 내용을 열람합니다. 이때, 첨부된 파일을 다운로드하여 자료가 정상적으로 제공되는지도 확인합니다.
6번
앞에서 제시한 테스트가 끝났다면 5분 동안 사이트를 자유롭게 이용해주세요. </t>
  </si>
  <si>
    <t>공정거래위원회</t>
  </si>
  <si>
    <t xml:space="preserve">1. 메뉴가 기능 단위로 잘 구분되어 있어 한눈에 쉽게 인지하고 접근이 가능한가? 
2. 찾고자 하는 서식을 손쉽게 검색하고 찾을 수 있는가?
3. 용어는 손쉽고 명확하게 인지되는가?
4. 시각적인 피로도 없이 콘텐츠를 확인할 수 있는가? </t>
  </si>
  <si>
    <t xml:space="preserve">1번.
상단 메뉴의 [민원·참여] → "신고서식"을 클릭해 신고에 필요한 양식과 안내를 확인합니다.
2번.
신고 내용을 익명으로 제출하고 싶어 [민원·참여] → "공정위(익명)제보하기" → '익명제보센터' 로 이동하여,  제보 방법을 이해하고 온라인 신청서식을 확인합니다.
3번.
방문을 통한 상담이 필요할 수 있다는 판단하에 상단메뉴 [민원·참여] → "상담" → '상담 및  방문접수 안내·절차'메뉴를 클릭하고 내용을 확인합니다.
4번.
분쟁 관련 법령이 궁금해 상단메뉴 [심결·법령] → "위원회소관법령" 메뉴에서 ‘하도급법' 에 관한 법률’을 찾아 전문을 열람합니다.
5번.
[소식·뉴스] → "공정위 소식"에서 최근 공정위의 보도자료를 확인합니다.
6번
앞에서 제시한 테스트가 끝났다면 5분 동안 사이트를 자유롭게 이용해주세요. </t>
  </si>
  <si>
    <t>과학기술정보통신부</t>
  </si>
  <si>
    <t>인터넷 우체국</t>
  </si>
  <si>
    <t xml:space="preserve">1. 메뉴 구성만으로도 주요서비스가 한눈에 드러나는가?
2. 신청 프로세스가 동일한 구조로 되어 있어 사용자가 빠르게 적응이 가능한가?
3. 색상 대비와 버튼 간격이 적절한가?
4. 콘텐츠의 가독성이 좋은가?
</t>
  </si>
  <si>
    <t xml:space="preserve">1번.
메인화면 상단의 [우편] → "간편사전접수" 메뉴를 클릭하고, '국내소포 우체국(Eco) 우체통'을 선택한 후, 비회원 신청하기를 진행합니다. 이후 '창구(다량)소포접수' 화면으로 진입하여 '약관 동의'와 '비밀번호 설정' 절차를 거치고, '신청서식' 페이지로 이동되는 것을 확인합니다.
2번.
상단의 [EMS·국제우편] → "EMS 국제우편예약" → "국제우편스마트접수"를 클릭하고, 1)번과 동일하게 비회원 신청하기를 통해 국제우편 예약 접수 절차가 동일하게 진행되는지를 확인합니다.
3번.
상단메뉴 [우편]→ "증명서비스" → '내용증명' 클릭하고, 페이지 내 '사용자 매뉴얼' 버튼을 눌러 매뉴얼이 정상적으로 다운로드되는 것을 확인한 후, '신청' 버튼을 클릭하여 1)과 동일한 신청 절차 화면으로 진입되는 것을 확인합니다.
4번.
메인 페이지 우측 하단에 위치한 [요금조회] 버튼을 클릭하여 국내/국제 우편요금에 대한 안내 페이지로 이동하고, 각 우편서비스 요금 정보가 안내되고 있는지를 확인합니다.
5번.
메인 우측 하단 [나의 이용 정보] 버튼을 클릭한 뒤 "비회원이용내역조회"를 클릭하고, 조회 조건(날짜, 우편종류 등)을 입력하여 검색 기능이 정상적으로 작동하는지를 확인합니다.
6번
앞에서 제시한 테스트가 끝났다면 5분 동안 사이트를 자유롭게 이용해주세요. </t>
  </si>
  <si>
    <t>관세청</t>
  </si>
  <si>
    <t>유니패스</t>
  </si>
  <si>
    <t>1. 메뉴 구분이 명확 한가?
2. 개인통관고유번호 발급신청시 직관적으로 메뉴를 찾고, 빠르게 발급받을 수 있는가?
3. 안내가 충분히 제공되는가?
4. 화면 전환 과정이 자연스럽고 혼란 없이 이어지는가?</t>
  </si>
  <si>
    <t xml:space="preserve">1번.
상단메뉴 [업무지원]에서 "체화공매"의 ‘체화공매안내’를 선택합니다. 페이지 상단에는 공매 관련 게시물 목록이 보이고, 하단에는 관련 안내 페이지가 구성되어 있음을 확인합니다. 게시물 중 하나를 선택하여 입찰공고상세정보 페이지로 이동하고, 공매 내역을 확인합니다. 이어서 하단의 첨부파일 중 하나를 클릭하여 다운로드가 가능한 것을 확인합니다. 이후 페이지 하단의 ‘목록’ 버튼을 눌러 이전 화면으로 돌아온 뒤, 안내 영역에 마련된 네 개의 탭 버튼 중 하나를 클릭하여 페이지 내용이 변경되는 것도 확인합니다.
2번.
상단메뉴 [정보조회]의 "신고지원정보"에서 ‘HS 별 품명·규격 수입신고 가이드’를 선택합니다. 화면에는 HS 코드 및 품명을 조회할 수 있는 영역과 하단의 목록이 표시되고 있는 것을 확인합니다. 조회 영역에서 ‘조회’ 버튼을 클릭하자 코드 목록이 출력되는 것을 확인하고, 이 중 하나를 선택해 상세 내용을 열람합니다. 이후 좌측 하단의 ‘목록’ 버튼을 클릭해 이전 화면으로 돌아오고, ‘전체파일 PDF’를 다운로드하여 전체 자료를 확인합니다.
3번.
상단메뉴 [고객센터]에서 "사용자등록"의 ‘사용자등록안내’를 선택해 페이지 내용을 열람합니다. 페이지 상단에 다섯 개의 탭 버튼이 있으며, 각각을 클릭할 때마다 페이지 내용이 변경되는 것을 확인합니다. 이어서 좌측 하위 메뉴에서 "사용자등록"을 다시 선택하고, 도입 페이지로 이동합니다. 여기서 ‘일반(개인) 사용자 등록’을 선택하면 안내 팝업창이 나타나고, ‘개인통관부호발급진행’을 클릭하면 새로운 팝업창이 열리며 개인통관고유번호 발급 팝업창이 구동되는 것을 확인합니다.
4번.
메인 페이지 중앙 좌측에는 [환율정보] 영역을 살펴봅니다. 기본으로 노출된 환율 정보를 확인한 뒤, “+” 버튼을 클릭하여 모든 화폐에 대한 주간 환율 정보가 표시되는 것을 확인합니다. 또한 페이지 상단의 검색 조건을 변경하면 결과값이 달라지는 것도 확인합니다.
5번
앞에서 제시한 테스트가 끝났다면 5분 동안 사이트를 자유롭게 이용해주세요. </t>
  </si>
  <si>
    <t>교육부</t>
  </si>
  <si>
    <t>1. 메뉴에서 제공하는 기능이 쉽게 인지되는가? 
2. 주요 정책, 교육 정보, 민원 접수 등 주요 기능으로 빠르게 이동이 가능한가?
3. 검색이 편리하고 효과적이었는가?
4. 콘텐츠의 가독성이 좋은가?</t>
  </si>
  <si>
    <t xml:space="preserve">1번.
[정책]에서 "주요업무계획"을 클릭하고, '2025년 주요업무추진계획'을 선택해 교육부의 연간 주요 정책 방향을 확인합니다.. 이어서 우측 상단의 "보도자료 PDF" 버튼을 클릭해 관련 자료를 다운로드합니다.
2번.
[정책] 메뉴 내 "초·중·고 교육"을 클릭하자 게시판 형식으로 구성된 공지 목록이 나타나는 것을 확인하고, 목록 중 하나의 게시글을 선택해 상세 내용을 열람, 첨부된 파일을 다운로드합니다.
3번.
상단메뉴[국민참여·민원] 메뉴로 이동해 "신고·고충처" 하위의 '교육분야 성희롱·성폭력 신고센터'를 클릭합니다.. 이때 개인정보 수집·이용 동의서 페이지로 연결됨을 확인하고, 실제 신고 접수 절차가 사전에 명확히 안내되어 있는지 확인합니다.
4번.
상단메뉴 [정보·법령]의 "교육지원한눈에" 메뉴를 클릭한 후, 제공된 게시물 목록을 살펴봅니다. 검색 조건에서 '학생' 항목을 '중학생'으로 선택한 뒤 검색 버튼을 클릭하자, 해당 조건에 맞는 교육지원 정보를 담은 게시물들이 잘 출력되는 것을 확인합니다.
5번.
상단메뉴 [교육부소식] 메뉴에서 "보도·설명·반박" 하위의 '보도자료'를 클릭하여 최근 발표된 교육 정책 관련 보도자료 목록을 확인하고, 관심 있는 항목을 열람합니다.
6번
앞에서 제시한 테스트가 끝났다면 5분 동안 사이트를 자유롭게 이용해주세요. </t>
  </si>
  <si>
    <t>국가보훈부</t>
  </si>
  <si>
    <t>보훈심사위 누리집</t>
  </si>
  <si>
    <t>1. 페이지 이동이 직관적이고 명확하게 인지되는가? 
2. 글자 크기·줄의 간격이 읽기에 적절한가?
3. 자료 다운로드 버튼을 인지하기 쉬웠는가?
4. 노년층 기준에서도 무리 없이 활용 가능한 수준인가?</t>
  </si>
  <si>
    <t xml:space="preserve">1번.
메인페이지 상단메뉴에서 [보훈심사제도] → "보훈심사의미"를 클릭하여 제도의 정의와  관련 법령 근거를 확인한 후, 페이지 하단에 위치한 '본문내용 한글파일 내려받기' 버튼을 클릭해 해당 내용을 파일로 저장합니다.
2번.
동일한 페이지의 상단 탭에서 "심사절차"를 선택하여 보훈심사의 단계별 흐름 및 주요 절차를 확인하고, 이어서 탭 버튼 중 우측의 "이의제기 절차"를  클릭해 심사 결과에 대한 이의신청 방법도 숙지합니다. 해당 페이지에서도 마찬가지로  하단에 있는 한글파일 내려받기 버튼을 클릭하여 문서 파일을 다운로드합니다.
3번.
저는 위의 과정을 거쳐 심사 신청을 위해 보훈청을 방문하여 신청접수를 완료한 상태입니다. 따라서 상단메뉴의 [요건심사확인]을 클릭한 뒤, "나의 심사 단계" 페이지로 진입하여 관련 내용을 읽고 하단의 개인정보 입력란을 확인합니다.
4번.
심사관련자료를 더 확인하기 위하여 상단메뉴 [자료실]을 클릭하여 이동한 후,게시물 목록을 확인하고, 게시글 하나를 클릭해 본문 내용과 첨부 파일을 열람 및  다운로드합니다.
5번.
상단메뉴 [FAQ] 메뉴에 접속해 "자주하는 질문" 목록에서 궁금한 항목을 클릭하고, 펼쳐지는 답변 내용을 확인하며 궁금증을 해소합니다.
6번
앞에서 제시한 테스트가 끝났다면 5분 동안 사이트를 자유롭게 이용해주세요. </t>
  </si>
  <si>
    <t>국가유산청</t>
  </si>
  <si>
    <t>국가유산포털</t>
  </si>
  <si>
    <t>1. 메뉴 구성이 명확한가?
2. 통합 검색 필터가 체계적이고 활용도가 높은가?
3.  콘텐츠 상세 내용에 접근이 용이한가?
4. 제공되는 용어가 어렵지는 않은가?</t>
  </si>
  <si>
    <t xml:space="preserve">1번.
메인 상단의 [국가유산검색] 메뉴에서 ‘국가유산검색’ 항목을 클릭하고 화면 중앙의 ‘지정종목’, ‘지역’, ‘시대’ 등의 필터 항목에서 원하는 조건을 선택한 뒤 검색 버튼을 클릭합니다.  결과 화면에서는 ‘국가유산목록’, ‘이미지’, ‘동영상’, ‘도면’ 등 다양한 형태의 탭이 제공되어 원하는 방식으로 정보를 확인합니다.
2번.
한국의 기록 유산에 대한 정보를 찾기 위해 상단 메뉴의 중 [기록유산]을 클릭한 뒤, ‘기록유산 알기’ → ‘기록유산 영상’ 항목으로 이동하여 한국의 기록유산에 대한 정보를 동영상으로 열람합니다.
3번.
[국가유산청 사진관] 메뉴 하위의 "국가유산 아카이브"로 이동하여 주제별로 아카이브된 사진을 열람합니다. 마음에 드는 사진을 확대해서 보거나 다운로드합니다. 슬라이드를 좌우로 이동하여 비슷한 주제의 사진을 탐색해봅니다.
4번.
메인 화면의 검색창에 제시된 인기 검색어를 이용해 검색해봅니다. 통합검색 결과 화면에서 상세검색을 이용해 검색 결과 내에서 원하는 정보를 필터링해 확인해봅니다.
5번.
상단 메뉴 [국가유산검색]의 ‘간행물’ 항목을 클릭하여 국가유산청에서 발간한 간행물을 열람했습니다. 간행물 리스트 중 하나를 선택해 들어간 후, ‘뷰어보기’를 클릭하여 온라인 뷰어를 통해 내용을 확인합니다.
6번
앞에서 제시한 테스트가 끝났다면 5분 동안 사이트를 자유롭게 이용해주세요. </t>
  </si>
  <si>
    <t>국무조정실</t>
  </si>
  <si>
    <t>정부업무 평가포털</t>
  </si>
  <si>
    <t>https://www.evaluation.go.kr</t>
  </si>
  <si>
    <t xml:space="preserve">1. 주요 기능의 분류가 명확한가? 
2. 보고서, 평가자료, 연구자료 등 PDF 기반 콘텐츠를 쉽게 다운로드할 수 있는가?
3. 이동이 쉽고 효율적인가?
4. 제공하는 정보에 대한 인지, 분류, 열람이 용이한가? 
</t>
  </si>
  <si>
    <t xml:space="preserve">1번.
메인 화면에서 상단 메뉴 [정부업무평가제도]의 ‘정부업무평가개요’ 항목을 클릭하여, 정부업무평가의 개요, 연혁, 발전과정 등을 열람합니다.
2번.
상단 메뉴 [성과관리제도]의 ‘성과관리 개요’로 이동하여,성과계획 수립부터 환류 및 평가에 이르는 전체 관리 흐름과 구조에 대해 확인합니다.
3번.
상단 메뉴 [정부업무평가제도]의 "중앙행정기관평가"의 '특정평가' 항목을 클릭하고,개요,역점정책,규제합리화 등 내용을 확인합니다.
4번.
이어서 상단 메뉴 [정부업무평가제도]의 "지방자치단체평가"의 '자체평가' 항목을 클릭하고,평가개요,평가절차,평가방향 등 내용을 확인합니다.
5번
앞에서 제시한 테스트가 끝났다면 5분 동안 사이트를 자유롭게 이용해주세요. 
</t>
  </si>
  <si>
    <t>국민권익위원회</t>
  </si>
  <si>
    <t>국민신문고</t>
  </si>
  <si>
    <t>https://www.epeople.go.kr</t>
  </si>
  <si>
    <t>1. 로그인 및 인증 단계를 직관적으로 안내하는가?
2. 첨부파일 다운로드·주소복사 기능이 직관적으로 작동하는가?
3. 사용자가 쉽게 의견을 남길 수 있는가?
4. 민원이 잘 구분되어 있는가?</t>
  </si>
  <si>
    <t xml:space="preserve">1번.
상단메뉴 [민원]에서 "민원상담안내"를 클릭합니다. 해당 안내 페이지가 열리며 내용을 열람한 뒤, 페이지 우측 상단에 '주소복사하기'와 '인쇄하기' 아이콘이 있음을 확인합니다. 저는 '주소복사하기' 아이콘을 눌러 복사된 주소를 카카오톡 대화창에 붙여넣기를 해보고 해당 페이지의 링크주소 복사가 잘 되고, 실제 클릭 시 링크되는지를 확인해 봅니다.
2번.
같은 [민원] 메뉴에서 "일반민원"을 클릭합니다. 로그인 및 본인인증 페이지로 연결되며, 간편인증이나 공동인증서 중 하나를 선택해 인증을 진행합니다. 인증을 마치고 '민원신청' 첫 단계인 '신청서 작성' 화면으로 진입합니다. 이 화면 상단에는 민원 접수 진행을 위한 3단계 절차가 표시된 것을 확인해 봅니다.
3번.
다음으로 상단메뉴 [국민제안]에서 "공개제안"을 클릭합니다. 페이지 상단에는 검색 영역이, 하단에는 게시물 목록이 나타납니다. 게시물 중 하나를 선택해 상세 페이지로 들어가 내용을 확인하고, 하단에 '평점선택' 기능과 댓글 입력 영역이 있는 것을 확인합니다.
4번.
[국민생각함] 메뉴를 클릭하면 별도의 사이트로 이동합니다. 좌측 상단 로고에서 사이트명을 확인하고, 메인 화면을 살펴봅니다.
5번.
사이트 우측 상단의 "국민신문고" 버튼을 클릭해 다시 [국민신문고]로 돌아옵니다. 이곳에서 우측 상단 [나의 신문고]를 선택하면 최근 3개월간 이용내역을 각 항목별로 확인해 봅니다. (이용내역이 없을 경우, 각 부문별 항목만 확인)
6번
앞에서 제시한 테스트가 끝났다면 5분 동안 사이트를 자유롭게 이용해주세요. 
</t>
  </si>
  <si>
    <t>국방부</t>
  </si>
  <si>
    <t>국방일보</t>
  </si>
  <si>
    <t xml:space="preserve">1. 원하는 정보를 쉽게 찾을 수 있는가?
2. 기사 내용 및 사진, 숏폼 영상들의 정보 전달력이 좋은가?
3. 상세 페이지에서 제공하는 글자크기 확대, 축소 등의 기능 버튼이 기사 내용 열람 편의성을 높여 주는가? 
4. 구독신청, 광고문의 등 사용자 참여 관련 메뉴 이용이 용이한가? </t>
  </si>
  <si>
    <t xml:space="preserve">1번.
상단메뉴 [국방]를 클릭합니다. 첫 번째 하위 메뉴인"국방안보" 가 첫 화면이 열리며, 상단에는 하위 메뉴 분류, 중앙에는 기사 게시물 목록, 우측에는 "오늘의 뉴스" 영역이 배치되어 있음을 확인합니다. 목록 중 하나의 기사를 선택해 상세 페이지로 이동하면 본문 내용을 열람합니다. 그리고 우측 상단의 기능 버튼들을 확인하고, 이 중에서 ‘출력하기’ 아이콘을 클릭하여 프린트 미리보기 팝업창이 구동되는 것을 확인한 뒤 닫습니다. 이어서 동일한 우측 영역의 ‘+’ 버튼을 눌러 글자가 확대되는 기능이 정상 동작하는 것도 확인합니다.
2번.
상단메뉴 [기획], [국내·외], [포토라운지], [오피니언], [엔터·스포츠] 메뉴들을 차례로 클릭합니다. 각 메뉴들의 페이지들이 [국방일보]와 동일하게 상단에 하위 메뉴, 중앙에 게시물 목록, 우측에 주요 뉴스 영역 등으로 구성되어 있음을 확인합니다.
3번.
상단메뉴 [오피니언]을 선택합니다. 기본으로 선택된 하위 메뉴는 "병영의 창"임을 확인하고, 관련 게시물 목록을 확인합니다. 화면 우측 중앙에는 "Hot Photo News" 영역이 있고, 이미지가 슬라이드 되는 것을 확인합니다. 이 영역에 있는 작은 동그라미 버튼을 클릭하면 이미지가 바뀌며, 특정 이미지를 클릭하면 상세 페이지로 이동, 선택한 정보의 상세 내용을 열람해 봅니다. 
4번.
상단메뉴 [무기백과]를 클릭합니다. 초기 페이지는 첫번째 하위 메뉴는 "기동"임을 확인하고, 페이지 중앙 상단의 하위 메뉴명 위에 마우스를 올리면 추가 세부 메뉴들이 말풍선 형태로 나타나는 것도 확인합니다.
5번.
상단메뉴 [Shorts]를 클릭합니다. 영상 콘텐츠 목록이 표시되고, 하나의 영상 이미지를 선택하면 국방일보 공식 유튜브 채널로 연결되어 해당 영상을 시청할 수 있음을 확인합니다. 다시 사이트로 돌아와, 좌 상단의 세 줄 메뉴(사이트맵 버튼)를 클릭하면 전체 메뉴가 펼쳐지는 것을 확인합니다. 여기서 [Shorts] → "구독신청"을 선택하여 구독신청 페이지로 이동하는 것을 확인하고, 페이지 하단의 "구독신청하기" 버튼을 클릭하면 화면 하단에 신청 서식이 펼쳐져 구독 신청을 진행할 수 있음을 확인합니다.
6번
앞에서 제시한 테스트가 끝났다면 5분 동안 사이트를 자유롭게 이용해주세요. </t>
  </si>
  <si>
    <t>국세청</t>
  </si>
  <si>
    <t>홈택스</t>
  </si>
  <si>
    <t>https://hometax.go.kr</t>
  </si>
  <si>
    <t>1. 로그인을 쉽게 성공 수 있는가?
2. 세금신고, 조회 등 업무 수행이 쉽고 편리하게 구성 되어 있는가? 
3. 원하는 메뉴를 손쉽게 찾을 수 있는가? 
4. 제공되는 용어가 어렵지는 않은가?</t>
  </si>
  <si>
    <t xml:space="preserve">1번.
비로그인 상태에서 상단메뉴 [전자(세금)계산서 건별발급]을 클릭합니다. 그러면 "로그인 페이지로 이동한다"는 알림 창이 뜨고, 확인을 클릭하면 로그인 화면으로 전환됩니다, 로그인 화면에서는 다양한 인증 방식이 제공되는데, “간편인증”을 선택하여 개인 회원 로그인을 합니다. 
2번.
로그인 후 다시 메인 페이지로 돌아오면, 비로그인 상태의 메인 화면과는 다르게 개인화된 메뉴 중심으로 화면 구성이 달라져 있음을 확인합니다.이번에는 상단메뉴 [세금신고] → "신고서 조회/삭제/부속서류" → '전자신고결과 조회' 메뉴로 이동합니다. 페이지 상단의 안내 문구를 확인한 뒤, 전자 신고 내역을 조회할 수 있는 화면을 열람합니다. 세목, 주민등록번호, 신고일자 등을 입력하고 ‘조회’를 클릭하면 조회 결과가 나타납니다.조회결과를 열람합니다.
3번.
다음으로 상단메뉴 [납부·고지·환급] → "납부"  → '납부할 세액 조회/납부'메뉴를 클릭합니다. 페이지 상단의 안내 문구를 확인하고 ‘조회’ 버튼을 클릭하면 하단에 조회 결과가 나타납니다. 이후 좌측 상단의 ‘홈텍스 로고’를 클릭하여 개인화된 메인 화면으로 돌아옵니다.중단 추천하는 메뉴의 배너 형식으로 구성된 "국세납부(납부할 세액 조회·납부)" 메뉴를 클릭하면 동일하게 ‘납부할 세액 조회/납부’ 페이지로 이동하는 것을 확인합니다.
4번.
우측 상단 [전체메뉴] 버튼을 클릭하면 팝업창 형태의 전체 메뉴 구조도가 표시되는것을 확인합니다. 여기서 좌측의 "장려금·연말정산·기부금" 메뉴를 선택하고, 우측에 표시된 ‘연말정산간소화’ → ‘소득·세액공제 자료조회’를 클릭합니다. 그러면 연말정산 간소화 관련 주요 안내 문구가 표시되는 알림 페이지가 나타납니다. "연말정산간소화 시작하기" 버튼을 누르면 각 항목별로 "조회하기" 버튼이 나열된 화면을 확인합니다.
5번.
상단메뉴 [증명·등록·신청]을 클릭하면, 하위 메뉴 목록이 하단에 펼쳐지면서 다양한 증명·등록 관련 서비스들을 확인합니다. 
6번
앞에서 제시한 테스트가 끝났다면 5분 동안 사이트를 자유롭게 이용해주세요. </t>
  </si>
  <si>
    <t>국토교통부</t>
  </si>
  <si>
    <t>국토정보 플랫폼</t>
  </si>
  <si>
    <t>https://map.ngii.go.kr</t>
  </si>
  <si>
    <t>1. 메뉴 구분이 명확하고 접근이 용이한가?
2. 용어는 이해하기 쉬운가 ?
3. 지도 사용은 쉽고 편리한가?
4. 관련 자료에 대한 제공 기능은 쉽게 이용할 수 있는가?</t>
  </si>
  <si>
    <t xml:space="preserve">1번.
상단메뉴 [공간정보]에서 "지도정보"의 ‘정밀도로지도’를 선택합니다. 페이지를 열람한 뒤, 하단에 있는 ‘3차원 정밀도로지도(Shape) 다운로드’ 영역에서 항목을 체크하고 ‘선택다운로드’ 버튼을 클릭합니다. 다운로드를 위한 팝업창이 구동되는 것을 확인하고, 팝업 창의 선택 서식 항목을 살펴봅니다.
2번.
상단메뉴 [자료실]의 "국토조사보고서"를 선택합니다. 제공되는 보고서 항목들을 확인하고, 이 중 하나의 문서 파일을 선택해 다운로드 기능을 시험해봅니다. 이후 좌측 메뉴에서 ‘지명사전’을 선택하여 검색 영역과 지명 관련 용어 리스트를 확인합니다. 지명 선택 영역에서 ‘가’를 선택하고 검색 버튼을 누르고 하단 리스트가 변경되는 것을 확인해 봅니다. 목록 중 하나를 선택하고 우측의 ‘지명정보’를 클릭하여, 해당 지명의 요약 설명이 바로 아래에 표시되는 것을 확인합니다.
3번.
상단메뉴 [국토정보맵]에서 "통합지도검색"을 클릭합니다. 화면이 지도 뷰어창으로 전환되고, 좌측 상단의 검색 팝업창에서 검색어를 입력할 수 있는 것을 확인합니다. 이 팝업창에서 직접 검색을 실행해 보고, 검색 결과가 다음과 같은 순서로 진행되는 것을 확인합니다. (검색 결과가 팝업창에 표시 → 이 중 하나를 선택 → 우측에 다양한 지도형태 목록이 나타나고 →  ‘항공사진’을 선택 → 연도 선택 팝업창이 나타나고, 연도를 고른 뒤 → 세부 리스트에서 항목을 체크하고 ‘영상비교’를 클릭합니다. 그러자 영상비교 팝업창이 구동되어 기능이 정상 작동함을 확인할 수 있습니다. 이후 우측상단의 홈버튼을 클릭하여 메인페이지로 이동합니다.
4번.
메인 페이지 중앙 하단의 [공간정보 받기 및 업무지원] 영역으로 이동해, 여러 지원 항목 중 "업무지원"을 선택합니다. [업무지원서비스] 사이트 페이지로 전환된 후 첫 번째 항목인 ‘측량기기 성능검사’ → '측량기기 성능검사서' 를 클릭하면, 해당 페이지로 이동하여 검색 조건 설정 영역과 검사 결과 리스트가 화면 하단에 출력되는 것을 확인합니다.
5번.
다시 원래 사이트로 돌아온 후, 상단메뉴 [지원서비스]에서 "오픈API"의 ‘오픈 API 소개’를 선택합니다. 관련 안내 내용을 읽어본 후, 페이지 하단의 ‘오픈 API 인증키 신청’ 버튼을 클릭합니다. 그러자 신청 서식 페이지로 이동하여, 실제 API 인증키 신청을 위한 입력 항목들이 제공됨을 확인합니다.
6번
앞에서 제시한 테스트가 끝났다면 5분 동안 사이트를 자유롭게 이용해주세요. </t>
  </si>
  <si>
    <t>금융위원회</t>
  </si>
  <si>
    <t>https://www.fsc.go.kr</t>
  </si>
  <si>
    <t>1. 뷰어·다운로드 기능이 원활히 제공되는가?
2. 외부 사이트로 이동 시 연결 흐름이 자연스럽고 혼란이 없는가?
3. English 버튼 클릭 시 영문 사이트로 원활히 전환되며, 주요 정보가 영어로 적절히 제공되는가?
4. 용어는 손쉽고 명확하게 인지되는가?</t>
  </si>
  <si>
    <t xml:space="preserve">1번.
상단메뉴 [알림마당]에서 "위원회 소식"의 ‘보도자료’를 클릭합니다. 보도자료 목록이 나타나고, 각 게시물은 제목, 날짜, 첨부파일 아이콘 등으로 구성되어 있음을 확인합니다. 목록 중 하나를 선택해 제목을 클릭하자 상세 화면으로 이동하며 글의 본문 내용을 확인합니다. 화면 하단의 첨부파일 영역을 확인하고, ‘아래 화살표’를 클릭하여 첨부파일 목록이 펼쳐지는 것을 확인합니다. 이어서 ‘뷰어’ 아이콘을 클릭하여 문서 내용을 열람해 본 뒤 종료하고, 다시 ‘다운로드’ 아이콘을 클릭해 실제 파일 다운로드 기능이 정상적으로 작동하는 것을 확인합니다.
2번.
상단메뉴 [참여마당]의 "신고마당"으로 이동해 ‘공익신고’를 선택합니다. 안내 페이지에서 관련 설명을 확인한 뒤, 페이지 하단에 있는 ‘공익신고 바로가기’를 클릭합니다. 그러자 외부의 "청렴마당" 사이트로 연결되는 것을 확인합니다.
3번.
상단메뉴 [정책마당]에서 "정책자료"의 ‘주요업무계획’을 클릭합니다. 해당 페이지에 표시된 업무계획 자료를 확인한 후, 페이지 하단에 있는 ‘콘텐츠 만족평가하기’를 실행해 실제 사용자 평가 기능이 작동하는지 시험해 봅니다.
4번.
상단메뉴 [정보공개]의 "재정정보공개"에서 ‘재정정보’를 클릭합니다. 화면 상단에는 하위 메뉴 탭 버튼들이 배열되어 있고, 중앙 하단에는 게시물 목록이 나타나는 것을 확인합니다. 다른 탭 버튼을 선택하면 게시물 목록이 바뀌는 것을 확인하고, 목록 중 하나를 클릭해 ‘다운로드’ 아이콘을 눌러 파일 다운로드가 정상적으로 제공되는지 확인합니다.
5번.
상단메뉴 [금융위원회]에서 "금융위원회소개"의 ‘금융위원회’를 클릭합니다. 기관 소개 페이지에서 금융위원회의 개요 및 역할을 열람한 뒤, 사이트 우측 상단에 있는 "English" 버튼을 클릭합니다. 그러자 영문 페이지로 전환되어 금융위원회의 주요 소개 및 정책 안내가 영어로 제공되는 것을 확인합니다.
6번
앞에서 제시한 테스트가 끝났다면 5분 동안 사이트를 자유롭게 이용해주세요. </t>
  </si>
  <si>
    <t>기상청</t>
  </si>
  <si>
    <t>날씨누리</t>
  </si>
  <si>
    <t>1. 단기·중기 예보 조회 과정이 직관적인가?
2. 위험 정보가 지도와 함께 알아보기 쉽게 표시되는가?
3. 핵심 정보를 한눈에 종합적으로 확인할 수 있는가?
4. 고령자도 쉽게 인지할 수 있도록 글자 크기, 색 대비, 버튼 크기가 충분히 크고 뚜렷한가?</t>
  </si>
  <si>
    <t xml:space="preserve">1번.
먼저 좌측메뉴 [날씨]에서 "예보"를 선택한 뒤 ‘단기예보’를 클릭, 화면에는 일별·시간별 예보가 표시되는 것을 확인합니다. 상단에 있는 "주요지명으로 입력" 칸에 우리 지역명을 입력하면 하단에 세부 지역 목록이 펼쳐지고 이 중 우리 지역을 찾아 선택 후, 일별·시간별 예보 데이터가 새로 갱신되는 것을 확인합니다. 
2번.
좌측메뉴 [바다]에서 "바다예보"의 ‘일일예보’를 클릭하여 나타나는 이페이지의 화면 구조를 확인해 봅니다. 이 페이지에서 '우측에 해상특보가 표시', 중앙의 '바다 날씨를 보여주는 지도', '날씨 전망표'의 내용을 확인합니다. 화면 전체 구성을 확인한 뒤 지도에서 특정 지역을 클릭하여 앞바다, 먼바다 등 세부 구역이 표기되는 것을 확인하고, 이 중 하나를 다시 선택하여 우측 날씨 전망표의 데이터가 해당 지역 기준으로 변경되는 것을 확인합니다.
3번.
좌측메뉴 [태풍]의 "상세정보"를 클릭합니다. 새창이 열리고 태풍 경로와 예상 진로도가 지도에 표기되어 현재 상황을 한눈에 파악할 수 있는지를 확인합니다.
4번.
다시 기상청날씨누리 홈페이지로 돌아와 좌측메뉴 [기후]에서 "기후예측 통보문"의 ‘1개월 전망’을 클릭합니다. 공문서 형식으로 작성된 기온·강수량 전망 자료가 나타나는 것을 확인한 뒤, 페이지 우측 상단의 '지역' 선택에서 특정 지역을 지정하여 자료 내용이 해당 지역 기준으로 바뀌어 표시되는 것도 확인합니다.
5번.
좌측메뉴 [실시간 TOP5]에서 관심이 가는 세부 메뉴를 클릭합니다. 페이지가 열리면 페이지의 상세 내용을 확인합니다.
6번
앞에서 제시한 테스트가 끝났다면 5분 동안 사이트를 자유롭게 이용해주세요. </t>
  </si>
  <si>
    <t>기획재정부(재정경제부)</t>
  </si>
  <si>
    <t>경영정보공개</t>
  </si>
  <si>
    <t>1. 메뉴가 명확히 구분되어 있는가?
2. 검색이 빠르고 편리 한가? 
3. 표, 그래프 등을 보는데 불편함이 없는가?
4. 용어는 손쉽고 명확하게 인지되는가?</t>
  </si>
  <si>
    <t xml:space="preserve">1번
 ALIO에 접속해 먼저 [경영공시] → "기관별 공시" 메뉴에서
‘국민건강보험공단’을 검색하여 선택한 뒤, 분기별 보고서와 항목별 공시자료를 열람합니다.
2번
[경영공시] → "항목별 공시" 메뉴로 이동해  항목선택에 ‘기관운영 &gt; 인력관리 &gt; 임직원수’를 선택하고 정보를 조회하여, 해당 결과가 별도의 팝업창으로 제공되는 것을 확인합니다.
3번.
다음으로 상단의 [통계] →"주요통계" 메뉴에 들어가 상단 탭에서 ‘임직원현황’을 선택하고 그래프와 통계 수치를 확인합니다.
4번.
메인페이지 중단의 [공공기관 지정현황] 메뉴로 이동해 기관 목록을 확인하고, 그중 한 기관의 유튜브 채널 아이콘을 클릭해 해당 기관의 유튜브 상세페이지로 이동되는 것도 확인합니다.
5번.
마지막으로 [알리오안내] → "경영공시제도" 메뉴에서 공시제도에 대한 내용을 확인합니다.
6번
앞에서 제시한 테스트가 끝났다면 5분 동안 사이트를 자유롭게 이용해주세요. </t>
  </si>
  <si>
    <t>농림축산식품부</t>
  </si>
  <si>
    <t>친환경농산물정보시스템</t>
  </si>
  <si>
    <t xml:space="preserve">1. 필요한 자료를 쉽게 찾아 접근할 수 있는가?
2. 기능이 직관적이고 안정적으로 작동하여 정보 활용에 불편함이 없는가?
3. 영어버전 선택 시 사용자가 혼란스럽지 않고 정상적으로 서비스를 이용할 수 있는가?
4. 글자 크기, 색상 대비, 화면 배치 등이 고령 이용자를 포함한 모든 사용자에게 읽기 쉽고 이해하기 편리한가?
</t>
  </si>
  <si>
    <t xml:space="preserve">1번.
상단메뉴 [인증신청도우미] 메뉴의 "인증신청안내" 를 선택합니다.이 페이지에 제공된 내용을 열람하고 페이지 중앙 상단에 위치한 "인증기관조회"를 선택하여 페이지에 진입합니다. 검색영역과 게시물 목록을 확인하고, 목록 중 하나를 선택하여 '대표자' 이름을 검색 영역에 입력, 조회 결과가 잘 나오는지를 확인합니다. 이후 하나의 게시물을 선택하여 상세 페이지의 내용을 확인한 후 다시 목록 페이지로 돌아옵니다. 게시물 우측 상단의 'EXCEL' 아이콘을 클릭하여 엑셀 파일 다운로드 기능을 확인해 봅니다.
2번.
상단메뉴 [알림마당]의 "자료실" 을 선택, 자료실 목록 페이지로 진입, 게시물 목록을 확인합니다. 하나의 게시물을 클릭하여 상세 페이지로 진입 후 페이지의 내용 확인 및 첨부되어 있는 파일을 다운로드합니다. 
3번.
메인페이지로 돌아와 메인 중앙에 있는 [인증번호검색] 영역에서, 검색값 입력 없이 이 영역의 좌측 하단의 '상세검색' 버튼을 클릭해 봅니다. 클릭 후 "인증정보검색" 페이지로 이동하는 것을 확인하고 내용을 열람합니다.
4번.
다시 상단메뉴 [인증정보] 의 "부정유통신고" 를 선택, 해당 페이지에 진입 후 설명 내용을 확인합니다.
5번.
우측 헤더영역의 [ENGLISH] 를 선택하여 이 사이트의 영어버전으로 진입합니다. 상단 메뉴들에 마우스를 위치시켜보고 각 메뉴별로 하위 메뉴들이 밑으로 잘  펼쳐지는지를 확인하고, 이 중 하나의 메뉴를 선택해, 해당 페이지로 진입합니다. 페이지 열람 후 다시 우측 헤더 영역에서 [KOREAN] 을 클릭해서 한국어 버전으로 잘 복귀하는 것을 확인해 봅니다.
6번
앞에서 제시한 테스트가 끝났다면 5분 동안 사이트를 자유롭게 이용해주세요. </t>
  </si>
  <si>
    <t>농촌진흥청</t>
  </si>
  <si>
    <t>농업기술 포털 농사로</t>
  </si>
  <si>
    <t>1. 필요한 정보를 쉽게 찾을 수 있는가?
2. 고령층 농업인을 위한 동영상 학습이 용이한가?
3. 자료 다운로드를 쉽게 수행할 수 있는가?
4. 고령자도 쉽게 인지할 수 있도록 글자 크기, 색 대비, 버튼 크기가 충분히 크고 뚜렷한가?</t>
  </si>
  <si>
    <t xml:space="preserve">1번.
먼저 상단메뉴 [농업자재]에서 "품종정보"를 클릭합니다. 검색 화면이 나타나고 품종 목록이 보이면, 특정 품종명을 입력한 뒤 ‘검색’ 버튼을 눌러 결과 목록을 확인합니다. 결과 화면에서 "요약정보" 버튼을 클릭하니, 뷰어 방식으로 관련 문서가 열리는 것을 확인하고, 다시 이전 목록 페이지로 돌아와 이번에는 "출원·등록정보"를 클릭, 새로운 창이 열리면서 관련된 외부 페이지로 연결되는 것도 확인합니다. 
2번.
 이어서 상단메뉴 [영농기술]에서 "작목정보"를 선택, 랜덤하게 작목이 선택된 화면에서 동영상, 현장기술지원사례, 품종 목록이 함께 표시되는 것을 확인합니다. 페이지 내용을 살펴본 뒤, 상단에 있는 동영상을 클릭해 정상적으로 재생되는지 확인합니다.
3번.
같은 [영농기술] 메뉴에서 "영농활용정보" → '병해충 발생정보'로 이동합니다. 병해충 관련 게시물 목록이 나열되어 있음을 확인하고, 각 항목 우측의 "바로보기" 버튼을 누르니 뷰어 창이 열리며 상세 내용을 확인합니다. 또한 상단의 탭 중 "병충해 발생 소식받기"를 선택하여, 이메일 서비스 신청 서식이 제공되는 것도 확인합니다.
4번.
상단메뉴 [농업경영]에서 "농업경영자료실"로 이동하여 이곳에서 '경영자료실' 게시물 목록이 제공되며, 게시물 하나를 클릭하니 상세 내용과 함께 첨부파일 다운로드 기능을 이용해 봅니다.
5번.
상단메뉴 [생활농업]에서 "농촌문화" → '농촌지역 생활권 공간데이터 소개'를 선택합니다. 농촌 생활권 공간데이터와 관련된 설명이 제공되고 있음을 확인하고, 페이지 중앙의 "생활데이터 12부문" 항목이 함께 표시되고 있음을 확인, 이 중 '보건' 을 클릭 상세 게시물 목록 페이지로 이동하는 것을 확인합니다. 
6번
앞에서 제시한 테스트가 끝났다면 5분 동안 사이트를 자유롭게 이용해주세요. </t>
  </si>
  <si>
    <t>대검찰청</t>
  </si>
  <si>
    <t>1. 원하는 메뉴까지 접근이 용이한가?
2. 그래프 및 연도별 선택 기능은 시각적 이해를 돕고 비교 분석에 유용한가?
3. 민원서비스(민원신청/사건조회 등)에 접근이 쉽고 편리한가? 
4. 고령자도 쉽게 인지할 수 있도록 글자 크기, 색 대비, 버튼 크기가 충분히 크고 뚜렷한가?</t>
  </si>
  <si>
    <t xml:space="preserve">1번.
상단메뉴인 [검찰활동] 위에 마우스를 올리니 여러 하위 메뉴가 펼쳐지는 것을 확인한 뒤, 그중에서 “형의집행” 메뉴를 클릭합니다. 페이지 진입 후 상단에 네 개의 탭 버튼이 있음을 확인하고, 각각의 탭을 눌러 세부 항목별 페이지를 차례로 열람하며 형 집행에 대한 다양한 정보를 확인합니다.
2번.
상단메뉴 [정보자료]에서 “통계자료”를 선택하고, ‘형사사건동향’을 클릭합니다.. 화면 상단에는 세 개의 탭 메뉴 중, 세 번째 탭인 ‘고소/고발사건 접수현황’을 클릭, 해당 페이지에는 그래프 형태의 통계가 제공되는 것을 확인합니다. 이 페이지 상단에서 다른 연도를 선택하니 그래프가 갱신되어 비교 확인이 가능함을 확인하고, 또한, 화면 하단에 있는 “EXCEL 다운로드” 버튼을 눌러 데이터를 내려받을 수 있는 기능을 확인합니다.
3번.
상단메뉴 [참여민원]으로 이동하여 “자주묻는질문" 을 클릭합니다.  화면에 목록이 나타나면 목록중 하나를 클릭하여 질문과 답변 등 상세내용을 확인해봅니다.  
4번.
상단메뉴 [검찰소개]에서는 “전국검찰청찾기”를 클릭합니다. 화면 상단에는 ‘지역선택’ 기능을 통해서,  “서울”을 선택하자 서울 지역의 검찰청 목록이 나타나는 것을 확인합니다. 목록 중 한 개의 검찰청을 선택하여 “오시는길”을 클릭하여 지도와 함께 위치 정보, 교통편 등 상세 정보를 열람합니다.
5번.
메인 페이지 중앙 상단의 대형 배너 영역을 살펴봅니다. 국민에게 알리는 주요 안내 메시지가 이미지 배너로 제공되고 있는데, 배너 우측 상단에 위치한 작은 동그라미 버튼을 클릭하면 배너 화면이 바뀌며 각각의 알림 메시지를 확인합니다. 이를 통해 검찰이 국민에게 전달하고자 하는 주요 소식을 배너를 통해서 살펴 봅니다. 
6번
앞에서 제시한 테스트가 끝났다면 5분 동안 사이트를 자유롭게 이용해주세요. </t>
  </si>
  <si>
    <t>문화체육관광부</t>
  </si>
  <si>
    <t>대한민국 정책브리핑</t>
  </si>
  <si>
    <t>1. 정보 검색이 편리한가?
2. 공유하기,인쇄 기능 등은 불편함이 없는가?
3. 고령계층의 이용시 불편함은 없는가?
4. 용어는 손쉽고 명확하게 인지되는가?</t>
  </si>
  <si>
    <t xml:space="preserve">1번.
대한민국 정책브리핑에 접속해 상단메뉴 [뉴스] → "정책뉴스"를 클릭하여  최신 정책 기사 목록을 확인하고, 그 중 관심 있는 게시물 하나를 선택해 상세 내용을 열람합니다.
2번.
보다 구체적인 부처별 공식 입장을 확인하고자 상단메뉴[브리핑룸]→ "보도자료" 메뉴로 이동해 전체 목록이 나타나는 것을 확인한 후,페이지 우측 상단의 '상세검색' 버튼을 클릭하여 검색조건 영역이 펼쳐지면, 여기서 검색 기간과 부처를 설정한 후 '검색' 버튼을 눌러, 해당 부처의 보도자료가  정상적으로 출력되는지 확인합니다.
3번.
그리고 언론보도에 대한 정부 해명자료를 확인하기 위해 같은 [브리핑룸] 메뉴 내 "사실은 이렇습니다" 항목을 클릭해 목록 페이지로 진입하고, 하나의 게시물을 선택해 상세 내용을 열람한 뒤, 좌측에 있는 ‘공유하기’ 아이콘을 클릭하여 SNS 선택 팝업이 정상적으로 표시되는지도 확인합니다.
4번.
이어 상단메뉴[정책자료] → "전자책" 메뉴로 이동해 목록을 살펴본 뒤,'K 공감' 항목을 선택하여 'PDF'와 '전자책' 버튼을 각각 클릭하고 PDF 문서가 정상적으로 열리는지, e-Book 뷰어가 구동되는지를 확인합니다.
5번.
개인 맞춤형 뉴스 기능을 체험해보기 위해 상단메뉴[MY 맞춤뉴스]  → "AI 맞춤 뉴스" 메뉴로 이동하여 목록을 열람한 후, 관심 있는 게시물을 클릭해 상세 페이지로 진입한 뒤, 본문 상단의 ‘인쇄’ 버튼을 눌러 PDF 저장 또는 인쇄 설정 팝업 창이 정상적으로 작동하는지도 함께 확인합니다.
6번
앞에서 제시한 테스트가 끝났다면 5분 동안 사이트를 자유롭게 이용해주세요. </t>
  </si>
  <si>
    <t>방송통신위원회(방송미디어통신위원회)</t>
  </si>
  <si>
    <t>1. 메뉴가 직관적으로 배치되어 있는가?
2. 필요한 정보를 쉽게 찾을 수 있는가?
3. 게시물의 첨부파일 다운로드 기능이 원활히 작동하는가?
4. 용어는 손쉽고 명확하게 인지되는가?</t>
  </si>
  <si>
    <t xml:space="preserve">1번.
상단메뉴 [정보공개]에서 "정보공개안내"를 클릭하고, ‘정보공개제도 및 절차’ 항목을 열람합니다. 이어 페이지 중앙에 있는 "정보공개청구" 영역의 ‘정보공개청구서’ 버튼을 클릭하여 파일 다운로드 기능이 제공되는 것을 확인합니다. 이후 좌측 메뉴 중 "정보공개청구"를 선택해 관련 기능 버튼을 확인하고, "청구신청"을 클릭하여 "정보공개사이트" 로그인 페이지로 연결되는 것을 확인합니다.
2번.
상단메뉴 [민원·참여]에서 "민원신청하기"를 클릭하여 관련 안내 내용을 확인한 뒤, 페이지 중앙에 있는 ‘과학기술정보통신부’ 항목의 "바로가기" 버튼을 눌러 봅니다. 이후 국민신문고 로그인 인증 페이지로 이동하는 것을 확인합니다.
3번.
상단메뉴 [정책·정보센터]의 "정책과제"에서 ‘방송정책’을 클릭하여 게시물 목록을 확인하고, 목록 중 하나를 선택해 상세 내용을 열람합니다. 해당 화면에서 첨부파일을 확인하고 다운로드 기능도 실행해 봅니다.
4번.
상단메뉴 [알림마당]의 "사진뉴스" 메뉴를 클릭하여 게시물 목록을 살펴보고, 이 중 하나를 선택하여 상세 화면에서 사진 자료를 확인합니다. 이후 하단의 ‘목록’ 버튼을 눌러 다시 게시물 목록으로 돌아온 뒤, 상단 검색 영역에서 특정 키워드로 검색을 실행해 결과가 잘 표시되는 것도 확인합니다.
5번.
상단메뉴 [위원회소개]에서 "방송통신사무소" 메뉴를 선택하고 ‘민원 및 알림’을 클릭합니다. 게시물 목록을 열람한 뒤, 게시물 제목과 함께 표시된 첨부파일 아이콘을 클릭하여 파일 다운로드 기능이 정상적으로 제공되는 것을 확인합니다.
6번
앞에서 제시한 테스트가 끝났다면 5분 동안 사이트를 자유롭게 이용해주세요. </t>
  </si>
  <si>
    <t>방위사업청</t>
  </si>
  <si>
    <t>https://www.dapa.go.kr</t>
  </si>
  <si>
    <t>1. 주요 정보는 메뉴 구조별로 명확하게 구분되어 있는가?
2. 문서(PDF), 인쇄 등 자료 활용 기능이 원활하게 제공되는가?
3. 로그인·인증 절차가 불필요하게 복잡하지 않고 직관적으로 안내되는가?
4. 보도자료, 홍보자료, 간행물 등 대국민 콘텐츠가 시각적으로 보기 쉽게 구성되어 있는가?</t>
  </si>
  <si>
    <t xml:space="preserve">1번.
상단메뉴 [업무·정책]에서 "방위사업이해"를 선택하고, ‘2025년 이렇게 달라집니다.’ 항목을 클릭합니다. 해당 페이지로 이동해 내용을 확인한 뒤, 화면 상단의 ‘인쇄’ 버튼을 눌러 인쇄 팝업창이 정상적으로 구동되는 것을 확인합니다. 인쇄창을 닫고 페이지 하단에 제공된 PDF 파일을 클릭하여 자료를 다운로드합니다.
2번.
상단메뉴 [알림·소식]에서 "보도·설명자료"를 선택하고, ‘보도자료’ 항목으로 이동합니다. 게시물 목록이 표시되는 것을 확인하고, 목록 중 하나를 선택해 상세 페이지로 진입합니다. 상세 내용을 열람한 뒤 첨부파일을 다운로드합니다.
3번.
상단메뉴 [민원·참여]에서 "이용안내"를 클릭하고, ‘민원업무안내’로 이동합니다. 페이지 중앙 상단의 프린트아이콘을 클릭하여 작동하는지 확인합니다.스크롤을 내려 페이지 하단에서 민원업무별 문의처를 확인하고, 바로밑에 위치하고 있는 '방위사업 민원편람'의 다운로드 버튼을 클릭하여 민원편람내용을 확인해봅니다.
4번.
상단메뉴 [알림·소식]에서 "소식지(청아람)"을 클릭하고, ‘소식지(청아람)’ 항목을 선택합니다. 이미지 형태의 간행물 목록이 표시되며, '웹진' 버튼을 클릭하여 청아람 웹사이트가 새 창으로 열리는 것을 확인합니다. 페이지 구성을 확인한 후, 우측 상단의 ‘구독신청’ 버튼을 클릭하면 구독신청 첫 번째 화면이 나타나는 것을 확인합니다.
5번
앞에서 제시한 테스트가 끝났다면 5분 동안 사이트를 자유롭게 이용해주세요. </t>
  </si>
  <si>
    <t>법무부</t>
  </si>
  <si>
    <t>형사사법포털</t>
  </si>
  <si>
    <t>1. 가입 및 로그인 절차가 용이한가?
2. 검색이 편리한가?
3. 조회 결과 목록의 가독성이 좋은가?
4. 개인화된 정보가 한 화면에서 잘 확인되는가?</t>
  </si>
  <si>
    <t xml:space="preserve">1번.
메인 페이지 중단에 배치된 메뉴 항목들을 확인합니다. 메인페이지 중앙 하단에 있는 "많이 찾는 민원 서비스" 영역을 살펴보고, 이 중 하나를 선택해 '안내' 버튼을 클릭합니다. 팝업창으로 관련 민원에 대한 상세 안내 페이지가 열리고, 내용을 직접 확인합니다.
2번.
사이트 우측 상단의 [로그인] 버튼을 선택합니다. 다양한 로그인 방식이 제공되는 것을 확인하고, 그 중 원하는방식을 이용해 로그인합니다. 로그인 후 메인 페이지 중앙 메뉴 영역에서 [사건조회]를 클릭하자, 각 기관별 사건 조회가 가능한 도입 페이지로 이동하는 것을 확인하고, 이 중 "경찰사건"을 선택하면 경찰사건 조회 페이지가 열리고, 기본 검색 조건이 ‘일반검색’으로, 조회기간은 접속일 기준 1년 전까지 자동 설정된 것을 확인합니다. 이어 '검색' 버튼을 클릭해 실제 경찰사건 조회 결과 목록이 나타나는 것을 확인합니다.
3번.
상단메뉴 [민원 및 제증명신청]에서 "민원신청"을 클릭합니다. 화면에는 민원 처리 가능한 업무 구분과 민원 목록이 나타납니다. 여기서 ‘진정서/탄원서’ 항목을 찾아 '신청' 버튼을 클릭하면 사건정보 입력 서식 페이지가 열리는 것을 확인합니다.
4번.
우측 상단의 [My Kics] 메뉴를 클릭합니다. 개인화된 서비스 페이지에서 '나의 사건', '나의 민원', '나의 문의답변' 항목이 표시되는 것을 확인하고, 본인과 관련된 내역을 확인할 수 있음을 인지합니다.
5번.
상단메뉴 [소통과 국민참여]에서 "포털 이용안내"를 선택합니다. 게시물 목록 페이지가 열리고, 이 중 하나를 선택해 상세 페이지 내용을 확인합니다. 이어 페이지 중앙 상단 메뉴 선택 영역의 두 번째 탭에서 하위메뉴 "이용불편신고"를 클릭합니다. '개인정보 수집 동의' 체크 후 하단의 '다음' 버튼을 누르면 신고 작성 페이지로 이동하는 것을 확인하고, 작성인 정보에 내 개인정보가 자동으로 기재되어 있는지, 그리고 페이지 하단의 신고 내용 작성 서식을 확인합니다.
6번
앞에서 제시한 테스트가 끝났다면 5분 동안 사이트를 자유롭게 이용해주세요. </t>
  </si>
  <si>
    <t>법제처</t>
  </si>
  <si>
    <t>국가법령 정보시스템</t>
  </si>
  <si>
    <t>https://www.law.go.kr</t>
  </si>
  <si>
    <t>1. 원하는 메뉴까지 접근이 용이한가?
2. 법률 실무자가 검색창, 필터, 연계 정보를 빠르게 찾고 활용할 수 있는 구조인가?
3. 조문/부칙/별표 등이 명확히 구분되고 여백·폰트가 법률 독해에 적합한 수준인가?
4. 공유하기, 저장하기, 인쇄하기 기능 등이 편리하고 용이한가?</t>
  </si>
  <si>
    <t xml:space="preserve">1번.
먼저 검색창에 ‘근로기준법’을 입력하고, 법령 구조를 확인합니다. 연혁 탭에서 개정 이력을 확인하고, 판례 탭에서 관련 사례를 검토한 뒤 PDF로 저장 합니다.
2번.
메인 화면에서 [기관별 찾기] 와 [법분야별 찾기]를 이용해 법령 목록 페이지로 이동합니다.
3번.
목록 페이지의 우측 화면에서 정렬 조건을 변경하면서 법령 목록이 변경되는지를 확인합니다.
4번.
법령 확인 화면의 우측 상단 메뉴를 이용해 법령을 '공유'하고, '내 관심법령'에 추가합니다. 그리고 PDF 파일로 법령을 저장합니다.
5번.
개인적으로 관심이 많은 '주택임대차보호법'을 검색해서 해당 법령을 열람합니다.
6번
앞에서 제시한 테스트가 끝났다면 5분 동안 사이트를 자유롭게 이용해주세요. </t>
  </si>
  <si>
    <t>병무청</t>
  </si>
  <si>
    <t>병무민원 포털</t>
  </si>
  <si>
    <t>https://mwpt.mma.go.kr</t>
  </si>
  <si>
    <t>1. 메뉴 구분이 명확 한가?
2. 원하는 민원을 빠르게 찾고 실행(신청·다운로드·조회)할 수 있는가?
3. 제공되는 상담은 쉽게 접근이 가능한가?
4. 화면 전환 과정이 자연스럽고 혼란 없이 이어지는가?</t>
  </si>
  <si>
    <t xml:space="preserve">1번.
상단메뉴 [민원안내]를 선택합니다. 여러 민원 항목들이 그룹으로 나누어 나열되어 있는 것을 확인한 뒤, "상담코너"에 있는 세부 항목을 살펴봅니다. 이 중 ‘챗봇(아라) 상담’을 선택하면, 팝업 형태로 챗봇 상담창이 구동됩니다. 상담창에 직접 메시지를 입력해 상담 기능이 정상적으로 작동하는지 확인해 봅니다.
2번.
같은 페이지 좌측 메뉴에서 "생계유지곤란사유 병역감면원(자가진단)"을 선택합니다. 해당 페이지에 접속하면, 화면 상단에 ‘도우미’, ‘병역감면기준 등 제도안내’ 탭 버튼과 개인정보 수집 동의를 위한 영역이 보입니다. 두 번째 탭인 ‘병역감면기준 등 제도안내’를 클릭하면 새로운 사이트로 연결되며 상세한 안내 페이지가 열립니다. 내용을 확인한 뒤 다시 원래 사이트로 돌아와 필요한 항목을 선택하고 동의 체크 후 ‘자가진단시작하기’ 버튼을 클릭합니다. 그러자 인증 관련 페이지가 구동되는 것을 확인하고 내용을 살펴봅니다.
3번.
상단에 구성된 모든 메뉴들을 차례로 클릭해 봅니다. 각 메뉴 화면이 동일한 형태의 구조로 되어 있음을 확인하고, 이 중 하나의 세부 항목을 직접 선택하여 내용을 확인합니다.
4번.
메인 페이지 좌측 하단의 [바로가기] 영역에서 [민원서식내려받기]를 클릭합니다. ‘신청서/구비서류’ 페이지로 이동되며, 게시물 리스트가 펼쳐집니다. 리스트 중 하나를 선택하여 상세 내용을 확인하고 첨부파일을 열람한 뒤, 파일을 다운로드하여 실제 제공이 정상적으로 이뤄지는지 확인합니다.
5번.
메인페이지 하단에 위치한 [국민신문고]를 클릭합니다. 다시 민원안내 관련 화면으로 연결된 것을 확인하고, 이 페이지에서  ‘국민신문고’ 세부 항목 중 ‘청장에게 바란다’를 선택합니다. 상단에 구성된 ‘신청’, ‘나의민원’, ‘안내’ 세 개의 탭을 각각 클릭하여, 페이지 전환 및 내용 제공이 원활히 이뤄지는지를 확인합니다.
6번
앞에서 제시한 테스트가 끝났다면 5분 동안 사이트를 자유롭게 이용해주세요. </t>
  </si>
  <si>
    <t>보건복지부</t>
  </si>
  <si>
    <t>e하늘 장사정보</t>
  </si>
  <si>
    <t>1. 고령층에게도 쉽게 접근 가능하도록 구성되어 있는가?
2. 필요한 정보를 쉽게 찾을 수 있는가?
3. 게시물의 첨부파일 다운로드 기능이 원활히 작동하는가?
4. 시각적 안정성, 용어 선택 등에 정서적 배려가 느껴지는가?</t>
  </si>
  <si>
    <t xml:space="preserve">번.
상단메뉴에서 [화장예약서비스]를 선택한 뒤, "시신·태아전용 화장예약서비스"를 클릭하여 별도 사이트로 이동합니다. 이곳에서 '화장예약신청'을 눌러 예약신청 현황 페이지를 확인합니다.
2번.
본 사이트로 돌아와 상단의 파란색 메뉴바에서 [장사시설] → "장사시설/장례용품가격"을 클릭하고, 기본 선택된 '장례식장' 목록에서 지역을 선택해 검색한 뒤, 한 항목을 눌러 상세 내용을 확인합니다.
3번.
[장사시설] 메뉴에서 "장례용품검색"을 선택하고, 게시판 상단에서 항목별 필터를 조정하며 검색 결과가 잘 출력되는지 확인합니다.
4번.
상단메뉴 [장사정보] 메뉴에서 "지자체지원사항"을 클릭한 후, 게시물 중 하나를 열람하고, 우측 상단에 있는 '저장' 버튼을 눌러 저장 설정 팝업이 정상적으로 나타나는지 확인합니다.
5번
앞에서 제시한 테스트가 끝났다면 5분 동안 사이트를 자유롭게 이용해주세요. </t>
  </si>
  <si>
    <t>산림청</t>
  </si>
  <si>
    <t>숲나들e</t>
  </si>
  <si>
    <t>1. 메인 화면에서 자연휴양림 주요 서비스들이 명확히 인지되고 있는가?
2. 메뉴간의 이동이 편리한가?
3. 예약 가능 여부를 빠르게 파악할 수 있는가?
4. 검색이 편리한가?</t>
  </si>
  <si>
    <t xml:space="preserve">1번.
자연휴양림 첫(랜딩) 페이지에 접속해 페이지 중앙 검색 영역에서 ‘지역’, ‘휴양림’, ‘날짜’, ‘인원’을 설정하고 조회 버튼을 클릭합니다.
2번.
조회 결과로 표시된 객실 목록에서 원하는 휴양림의 상세 페이지로 진입하여, 객실 상세 정보를 확인한 뒤 우측 하단에 위치한 ‘예약’과 ‘관심상품담기’ 버튼 중 ‘관심상품담기’를 클릭합니다.
3번.
만약 원하는 날짜에 잔여 객실이 없다면, '대기가능한 방 보기' 버튼을 활용해 조회한 휴양림의 상세 정보 페이지로 진입하여 대기 가능한 목록을 확인합니다. 
4번.
관심상품으로 등록한 휴양림은 메인 우측 상단의 [마이페이지]로 이동해 ‘관심상품’ 메뉴를 통해 목록을 다시 확인합니다.
5번.
이후 가족과 함께 걸을 수 있는 숲길 코스도 미리 알아보기 위해, 상단 탭 메뉴 중 [숲길]을 클릭합니다. [숲길] 페이지로 이동한 뒤 상단메뉴 [숲길정보] 하위 메뉴의 ‘기타숲길’ 항목을 통해 ‘서울둘레길’ 페이지로 진입하고, 지도와 함께 제공되는 코스 목록 중 하나를 선택하여 상세 코스 정보를 열람합니다.
6번
앞에서 제시한 테스트가 끝났다면 5분 동안 사이트를 자유롭게 이용해주세요. </t>
  </si>
  <si>
    <t>산업통상자원부(산업통상부)</t>
  </si>
  <si>
    <t>제품안전 정보시스템</t>
  </si>
  <si>
    <t>1. 콘텐츠는 직관적으로 인지되는가?
2. 필요한 정보를 쉽게 찾을 수 있는가?
3. 원하는 항목으로 쉽게 접근 가능한가?
4. 용어는 손쉽고 명확하게 인지되는가?</t>
  </si>
  <si>
    <t xml:space="preserve">1번.
상단메뉴 [제품리콜] → "리콜정보검색"을 클릭하고, ‘국내리콜’ 목록 페이지로 진입하여 최근 리콜 대상 제품 목록을 확인하고 그중 하나의 게시물을 클릭해 해당 제품의 리콜 사유, 조치 내용, 제조사 정보 등을 상세히 열람합니다.
2번.
고객 문의로 인해 특정 제품의 KC 인증 유무를 확인하고자 상단 메뉴 [정보공개] → "인증정보검색"으로 이동합니다. 페이지 중앙에 있는 탭 버튼 중 "품목검색"을 클릭하자 좌측에 세부 분류 목록이 표시되고, 이 중 해당 품목을 선택해 정식 인증을 받은 제품 목록이 정상적으로 출력되는지를 확인합니다.
3번.
판매점 운영 과정에서 발생 가능한 사고를 방지 혹은 사고 발생 시 이에 대응하고자  상단메뉴 [위해신고] → "제품사고 신고"를 클릭합니다. → 신고 관련 내용과 연락처 등을 확인한 뒤 페이지 하단의 신고하기를 위한 개인정보 입력란이 잘 구성되어 있는지도 점검합니다. 
4번.
정책 변화에 민감한 나는 상단메뉴 [알림뉴스] → "보도자료" 메뉴를 클릭하여 전체 보도자료 목록을 확인하고, 관심 있는 게시물을 선택해 화면 상단에 상세 내용이 표시되는지 확인한 뒤 첨부된 공식 문서를 다운로드합니다.
5번.
어린이용 완구 제품의 판매를 앞두고 있어 [안전정책] → "제품안전 대상품목"으로 진입하여 페이지 중앙 상단에 위치한 탭 중 ‘어린이 제품’을 클릭하고, 표시된 ‘안전인증’ 항목의 대상 범위와 관리 기준을 열람합니다.
6번
앞에서 제시한 테스트가 끝났다면 5분 동안 사이트를 자유롭게 이용해주세요. </t>
  </si>
  <si>
    <t>새만금개발청</t>
  </si>
  <si>
    <t>1. 정보를 직관적으로 찾을 수 있는가?
2. 상담신청 및 상담목록 조회 이용이 편리한가?
3. 신청서식이 이해하기 쉽게 제공되는가?
4. 다국어 페이지가 정상적으로 구동되는가?</t>
  </si>
  <si>
    <t xml:space="preserve">1번.
상단메뉴 [새만금소개·소식]에서 "새만금소개"의 ‘사업개요’를 클릭, 이 페이지의 내용을 열람한 뒤, 우측 상단에 보이는 프린터 아이콘을 눌러 봅니다. 팝업 창이 열리며 페이지가 다시 표시되고, 이 팝업 화면 우측 상단의 프린터 아이콘을 클릭하여 실제 출력 기능이 제공되는 것을 확인합니다. 
2번.
상단메뉴 [새만금개발계획]의  "기본계획" 항목의 ‘새만금 비전과 발전전략’을 선택하여 해당 페이지의 내용을 열람합니다.
3번.
다시 메인 화면으로 돌아와, 중앙 좌측에 여러 개의  홍보 배너가 슬라이드 형식으로 돌아가고 있음을 확인합니다. 이 중 하나를 클릭하여, 상세 내용 페이지로 이동하거나 경우에 따라 외부 블로그 등 별도의 페이지로 연결되는지 등을 확인합니다. 
4번.
상단메뉴 [입주·투자정보]의 "입주·투자안내"에서 ‘입주·투자상담’을 클릭합니다. 화면에 휴대폰 본인인증 절차가 나오는 것을 확인한 뒤, 인증을 거칩니다. 인증 후 투자 상담을 신청할 수 있는 서식 화면을 확인하고, 이어 같은 화면의 상단 탭에서 "투자상담목록"으로 이동해, 기존 상담 신청 현황 목록을 확인합니다.
5번.
홈페이지 전체 우측 상단의 언어 선택 영역을 클릭합니다. 한국어 외에 영어(ENG), 중국어(CHN), 일본어(JPN) 서비스가 제공되는 것을 확인하고, 각각의 언어를 차례로 선택해 봅니다. 영어, 중국어, 일본어 페이지가 정상적으로 열리며 기본적인 소개 및 안내 내용이 다국어로 제공되는 것을 직접 확인합니다.
6번
앞에서 제시한 테스트가 끝났다면 5분 동안 사이트를 자유롭게 이용해주세요. </t>
  </si>
  <si>
    <t>소방청</t>
  </si>
  <si>
    <t>https://www.nfa.go.kr</t>
  </si>
  <si>
    <t>1. 정보를 직관적으로 찾을 수 있는가?
2. 키워드 검색 및 분류별 필터가 쉽게 동작하는가?
3. 콘텐츠를 읽을때 불편함이 없는가?
4. 지도가 정상적으로 구동되는가?</t>
  </si>
  <si>
    <t xml:space="preserve">1번.
상단메뉴 [기관소개]에서 "일반현황"의 ‘주요업무’를 클릭, 이 페이지의 내용을 열람한 뒤, 우측 상단에 보이는 프린터 아이콘을 눌러 봅니다. 팝업 창이 열리며 페이지가 다시 표시되고, 실제 출력 기능이 제공되는 것을 확인합니다. 
2번.
상단메뉴 [기관소개]의  "일반현황" 의 ‘전국소방기관안내’를 클릭하여 해당 페이지로 진입합니다. 검색바에 "서울"을  입력하고 검색을 합니다. 좌측에 검색리스트가 출력되고 지도에는 소방기관들의 위치가 표시됩니다. 검색된 리스트에서 원하는 소방서들을 클릭하여 소방서들의 위치를 파악해 봅니다.
3번.
다시 메인 화면으로 돌아와, 중앙 좌측에 여러 개의  홍보 배너가 슬라이드 형식으로 돌아가고 있음을 확인합니다. 이 중 하나를 클릭하여, 상세 내용 페이지로 이동하거나 경우에 따라 외부 사이트 등 별도의 페이지로 연결되는지 등을 확인합니다. 
4번.
상단메뉴 [안전정보]의 "구급서비스"에서 ‘119안심콜서비스’를 클릭합니다. 해당 페이지에 진입하여 서비스이용안내 내용을 확인합니다.
5번.
상단메뉴 [소통민원]의 "자주묻는질문"을 클릭합니다. 해당 페이지에 진입하여 리스트에 나온 목록들을 확인하고 평소에 궁금한 내용들을  검색하여 내용을 확인합니다.
6번
앞에서 제시한 테스트가 끝났다면 5분 동안 사이트를 자유롭게 이용해주세요. </t>
  </si>
  <si>
    <t>식품의약품안전처</t>
  </si>
  <si>
    <t>https://www.mfds.go.kr</t>
  </si>
  <si>
    <t>1. 메뉴 구성이 체계적으로 분류되어 목적에 맞는 정보 접근이 용이한가?
2. 키워드 검색 및 분류별 필터가 쉽게 동작하는가?
3. 민원 메뉴에 쉽게 접근할 수 있는가?
4. 제공되는 용어가 어렵지는 않은가?</t>
  </si>
  <si>
    <t xml:space="preserve">1번.
상단메뉴 [법령정보]를 클릭하면 검색어 입력 영역, 하위메뉴 선택 영역, 그리고 하단에 게시물 목록이 표시된 화면이 나타나는데, 이들 하위메뉴 선택 영역에서 각각의 분류를 클릭할 때마다 하위 항목들이 아래로 펼쳐지는 것을 확인합니다. 이 중 첫 번째 "법령/자료"의 ‘알림’을 클릭하면 ‘공지’ 페이지의 게시물 목록이 보이며, 목록 중 하나를 선택해 상세 페이지로 이동합니다. 상세 페이지에서는 공문서 형태의 본문 내용을 확인하고, 페이지 내 제공되는 저장하기, 새 창 보기 등의 부가 기능을 이용해 봅니다.
2번.
상단메뉴 [법령자료]의 "법령정보"를 클릭하고 ‘입법/행정예고’를 선택하여 게시물 목록을 확인합니다. 이후 상단메뉴 [법령자료]의 "자료실"로 이동해 ‘안내서/지침’을 클릭하고, 목록에 나타난 자료들을 확인합니다.
3번.
상단메뉴 [정책정보]를 클릭하면 ‘식품’, ‘의약품’, ‘화장품’, ‘의료기기’, ‘마약’ 등 다양한 분야별 하위 메뉴들이 있음을 확인합니다. 이 중 "식품정책정보"의 ‘식품정보’를 선택하여 해당 페이지의 게시물 목록을 열람합니다.
4번.
상단메뉴 [국민소통]에서 "통합상담예약/민원편람"을 클릭하여 안내 사항을 읽고 페이지 하단의 "방문민원상담신청" 버튼을 눌러 상담예약 및 민원편람 관련 내용과 신청 서식을 확인합니다. 
5번.
다음으로 상단메뉴 [정보공개]에서 "정보공개제도안내"를 클릭해 관련 제도 안내 내용을 살펴봅니다. 
6번
앞에서 제시한 테스트가 끝났다면 5분 동안 사이트를 자유롭게 이용해주세요. </t>
  </si>
  <si>
    <t>여성가족부(성평등가족부)</t>
  </si>
  <si>
    <t>https://www.mogef.go.kr</t>
  </si>
  <si>
    <t>1. 정보는 목적별로 명확히 구분되어 있는가?
2. 메뉴 펼침/닫힘, 이미지 오버 효과, 이전글/다음글 이동, 공유 아이콘 등 상호작용 요소는 직관적으로 사용가능한가?
3. 콘텐츠의 글자 크기, 색상 대비, 화면 구성 등이 보기 편하게 제공되는가?
4. 시각적으로 안정되어 있는가?</t>
  </si>
  <si>
    <t xml:space="preserve">1번.
상단메뉴 [정책정보]에서 "고용평등"을 선택하고, 하위 항목 중 ‘여성새로일하기센터운영’을 클릭합니다. 해당 페이지로 진입하여 상세 내용을 확인한 뒤, 페이지 중앙 우측 상단에 있는 '카카오톡' 아이콘을 클릭합니다. 카카오톡 로그인 페이지가 새 창으로 열리는 것을 확인합니다. 이어 좌측 메뉴 영역에서 "고용평등" 하위 메뉴가 펼쳐져 있는 것을 확인하고, 다른 메뉴를 클릭하면 "고용평등"메뉴가 닫히며 클릭한 메뉴가 펼쳐지는 것을 확인합니다.
2번.
상단메뉴 [알림·소식]에서 "홍보자료"를 선택하고 ‘카드뉴스’를 클릭합니다. 카드뉴스 페이지로 진입하면 상단에 검색 영역과 함께 큰 이미지들이 나열되는 형태의 게시물 목록이 제공되는 것을 확인합니다. 이미지 위에 마우스를 올리면 ‘+자세히보기’로 표시가 바뀌는 것을 확인하고, 이미지를 클릭하여 상세 페이지로 이동합니다. 상세 내용을 확인한 뒤, 페이지 우측 상단에 카카오톡·네이버 등 공유 아이콘이 있는 것을 확인하고, 하단으로 내려가 ‘이전글’, ‘다음글’ 버튼이 제공되는 것도 확인합니다. 이 중 ‘다음글/또는 이전글’을 클릭하여 다른 게시물 상세 페이지로 이동합니다.
3번.
상단메뉴 [민원·참여]에서 "사이버신고"의 '공익신고센터'를 클릭합니다. 
페이지 상단의 안내 문구를 확인하고, 공익신고방법을 확인합니다. 
4번.
상단메뉴 [정보공개]에서 "국고보조금현황"을 클릭합니다. '총괄현황 내용'탭과 '보조금 부정수급자명단 공표' 탭을 클릭하여 내용을 확인합니다.
5번.
상단메뉴 [민원·참여]에서 "국민참여"를 선택하고 ‘나눔게시판’을 클릭합니다. 게시물 목록과 상단의 검색 영역이 있는 페이지로 진입하여 게시물 하나를 선택해 상세 내용을 확인한 뒤, 다시 목록으로 돌아옵니다. 이후 하단의 ‘글쓰기’ 버튼을 클릭하면 팝업창이 열리면서 실명인증 요청 화면이 구동되는 것을 확인합니다.
6번
앞에서 제시한 테스트가 끝났다면 5분 동안 사이트를 자유롭게 이용해주세요. </t>
  </si>
  <si>
    <t>외교부</t>
  </si>
  <si>
    <t>여권안내 홈페이지</t>
  </si>
  <si>
    <t xml:space="preserve">1. 사용자가 원하는 정보에 신속히 도달 가능한가? 
2. 전체 업무 수행 단계가 한 눈에 보이도록 안내되고 있는가?
3. 신청에 필요한 서식을 빠르게 확인하고 획득할 수 있는가?
4. 용어는 손쉽고 명확하게 인지되는가?
</t>
  </si>
  <si>
    <t xml:space="preserve">1번.
상단 메뉴 [여권신청·발급] → '최초 발급'을 클릭하고, '만 18세 이상' 항목을 선택하여 해당 페이지의 내용을 확인합니다.. 이 중 '기본구비서류' 항목에 포함된 '(여권발급신청서) 작성예시' 링크를 눌러 실제 서식 작성 화면도 참고합니다.
2번.
상단 메뉴 [여권기본사항]의 "여권사진" 항목으로 이동하여, 여권용 사진의 규격 및 허용·비허용 예시 정보를 열람합니다.
3번.
상단메뉴 [사실증명·조회] 메뉴에서 "사실증명조회"를 클릭한 뒤, '여권정보증명서' 항목을 선택해 관련 신청서식 다운로드 및 신청 방법에 대한 안내를 확인합니다.
4번.
다음으로 상단메뉴 [차세대 전자여권]에 들어가 "차세대전자여권안내"메뉴를 클릭해 차세대 여권의 특징과 장점을 확인하고, 상단메뉴 [차세대 전자여권]  메뉴를 클릭하고 →  '온라인 체험관' 메뉴로 이동해 안내 홍보영상을 시청합니다.
5번.
상단 메뉴 [알림·공시·자료] → "해외출입국정보" → '해외안전정보'를 차례로 클릭하여 외교부의 "해외안전여행" 웹사이트로 이동되는지 확인하고, 연결이 정상적으로 이뤄지는지 확인합니다.
6번
앞에서 제시한 테스트가 끝났다면 5분 동안 사이트를 자유롭게 이용해주세요. </t>
  </si>
  <si>
    <t>우주항공청</t>
  </si>
  <si>
    <t>https://www.kasa.go.kr</t>
  </si>
  <si>
    <t>1. 주요 콘텐츠를 직관적으로 탐색 가능한가?
2. 페이지의 구성 방식이 일관되고 가독성이 높은가?
3. 첨부파일 다운로드, 인쇄·공유 기능이 원활히 작동되는가?
4. 연령 및 전문지식과 상관없이 쉽게 이용할 수 있는가?</t>
  </si>
  <si>
    <t xml:space="preserve">1번.
 상단메뉴 [정책] 의 "비전 및 목표"를 선택하여 페이지에 진입하여 내용을 열람합니다. 화면 상단에 ‘공유하기’, ‘스크랩’, ‘인쇄’ 버튼이 함께 제공되고 있음을 확인합니다. 이 중 ‘인쇄’ 버튼을 클릭하자 인쇄를 위한 팝업창이 정상적으로 열리는 것을 확인합니다.
2번.
상단메뉴 [새소식]에서 "보도·설명"의 ‘보도자료’를 클릭합니다. 게시물 목록 페이지로 이동하여 여러 게시물이 나열된 것을 확인한 후, 하나를 선택해 상세 페이지로 진입합니다. 본문 내용을 확인하고 페이지 하단에 첨부파일 다운로드 기능이 제공되고 있음을 확인합니다.
3번.
상단메뉴 [참여·민원]에서 "적극행정" 의 ‘제도소개’를 선택합니다. '적극행정·소극행정 정의'탭의 내용을 확인하고 '적극행정추진방안'탭을 클릭하여 해당내용을 살펴봅니다.
4번.
상단메뉴 [새소식]에서 "누리소통망"의 ‘과학정보’를 선택합니다. 각 게시물 목록 영역이 대략적인 상세정보와 함께 노출되는 형태로 구성되어 있음을 확인합니다. 이 중 하나를 클릭해 상세 페이지로 진입하면 글 내용과 함께 우측 상단에 ‘공유’, ‘주소복사’, ‘인쇄’ 기능이 있음을 확인합니다. 또한 페이지 하단에는 첨부파일이 제공되고 있는 것을 확인하고, 우측 상단의 ‘인쇄’ 버튼을 클릭하여 인쇄 팝업창이 정상적으로 구동되는 것을 확인합니다.
5번
앞에서 제시한 테스트가 끝났다면 5분 동안 사이트를 자유롭게 이용해주세요. </t>
  </si>
  <si>
    <t>원자력안전위원회</t>
  </si>
  <si>
    <t>1. 메뉴 구성이 체계적으로 분류되어 목적에 맞는 정보 접근이 용이한가?
2. 민원참여 메뉴 이용이 편리했는가?
3. 해양방사능 감시정보(국내해역·가까운 바다·먼 바다)가 시각적으로 쉽게 이해되는가?
4. 일정/회의록 메뉴의 회의결과를 확인하는 과정이 간단하고, 첨부파일 다운로드가 원활한가?</t>
  </si>
  <si>
    <t xml:space="preserve">1번.
상단메뉴 [정보공개]에서 정보공개제도의 "정보공개제도 개요 및 절차"를 클릭하여 제도 안내 페이지를 확인합니다. 
2번.
상단메뉴 [민원참여]의 "원자력안전 옴부즈만"을 선택하여, 옴부즈만 제도의 소개와 운영 내용을 열람합니다.
3번.
상단메뉴 [알림마당]에서 "해양방사능 감시정보"를 클릭합니다. 여기서 ‘국내해역’을 선택하면 가까운 바다와 먼 바다의 감시 활동 결과를 확인할 수 있습니다. 이어 콘텐츠내용 중 ‘가까운 바다’ 항목의 [바로가기] 버튼을 클릭하면 "해양환경정보포털" 사이트가 새 창으로 열리고, 해당 사이트 메인 페이지 내용을 확인합니다.
4번.
대표 누리집으로 돌아와 상단메뉴 [정보마당]에서 통통콘텐츠의 "통통 소식지"를 클릭합니다. ‘고리·새울’ 관련 게시물 목록이 표시되며, 목록 중 하나를 선택해 상세 페이지로 진입합니다. 상세 내용과 함께 첨부파일의 ‘미리보기’ 기능이 정상적으로 작동하는 것도 확인합니다.
5번.
상단메뉴 [위원회활동]에서 "일정/회의결과/회의록"을 클릭합니다. 회의 관련 게시물 목록이 열리며, 이 중 하나를 선택해 상세 내용을 열람합니다. 게시물 상세 화면에서 첨부파일 다운로드 기능이 제공되는 것도 확인합니다.
6번
앞에서 제시한 테스트가 끝났다면 5분 동안 사이트를 자유롭게 이용해주세요. </t>
  </si>
  <si>
    <t>인사혁신처</t>
  </si>
  <si>
    <t>공직윤리 시스템</t>
  </si>
  <si>
    <t>1. 정보(업무) 단위로 메뉴 구분이 명확하고 접근이 용이한가?
2. 페이지의 구성 방식이 일관되고 가독성이 높은가?
3. 팝업의 UI가 가독성이 좋고, 다운로드 버튼이 쉽게 인지되는 위치에 배치되어 있는가?
4. 단계별 안내 문구가 명확하여 사용자가 혼동 없이 자가진단을 진행할 수 있는가?</t>
  </si>
  <si>
    <t xml:space="preserve">1번.
상단메뉴 [재산등록·공개]에서 "재산등록"을 선택합니다. 페이지 중앙 상단에 총 여섯 개의 하위 항목이 탭으로 구분되어 있는 것을 확인하고, 각각의 탭을 차례로 눌러 내용을 살펴봅니다. 이어 첫 번째 탭인 ‘재산등록의무자’ 페이지로 이동한 뒤, 페이지 중앙 우측 상단에 있는 ‘공직유관단체’ 텍스트를 클릭합니다. 클릭 후 [공직유관단체]의 "제도" 메뉴 페이지로 연결되는 것을 확인합니다.
2번.
상단메뉴 [자료실]에서 "서식자료실"을 클릭합니다. 자료실 게시물 목록 화면이 나타나고, 목록 중 하나를 선택하여 상세 화면으로 이동합니다. 상세 화면에서는 첨부파일 목록이 보이며, 이 중 하나의 파일을 다운로드해 봅니다.
3번.
상단메뉴 [재산등록·공개]에서 "재산공개 통합검색"을 선택합니다. 검색 조건을 설정할 수 있는 화면이 나타나는 것을 확인하고, 검색 영역에 (평가자가 원하는) 특정 기관명을 입력합니다. 조건에 맞는 검색 결과가 출력되며, 그 중 특정 1인을 선택하자 팝업창으로 해당인의 재산정보가 열리는 것을 확인합니다. 이어 팝업창 우측 상단에 있는 '다운로드' 버튼을 클릭하여 해당 상세 내용을 파일로 내려받습니다.
4번.
상단메뉴 [취업·행위제한]에서 "취업심사 자가진단"을 클릭합니다. 도입 페이지의 안내 내용을 확인한 후, 페이지 하단에 있는 '시작하기' 버튼을 눌러 자가진단 프로세스 화면으로 이동합니다. 이 화면 상단에 총 여섯 단계로 자가진단이 진행되는 구조가 표시되어 있는 것을 확인합니다.
5번.
상단메뉴 [공직자윤리법]에서 "법령정보"를 클릭합니다. 관련된 법령정보 목록이 표시되며, 그 중 하나를 선택해 뷰어 창에서 해당 법령 내용을 확인합니다. 뷰어 창의 우측 상단에는 ‘공유’, ‘한자’, ‘저장’, ‘인쇄’ 버튼이 제공되는 것을 확인하고, 이 중 ‘인쇄’ 버튼을 클릭합니다. 작은 설정 팝업창이 옆에 나타나고, 하단에서 ‘PDF 인쇄’를 선택한 뒤 ‘인쇄’ 버튼을 누르자 PDF 파일로 바로 저장되는 것을 확인합니다.
6번
앞에서 제시한 테스트가 끝났다면 5분 동안 사이트를 자유롭게 이용해주세요. </t>
  </si>
  <si>
    <t>재외동포청</t>
  </si>
  <si>
    <t>영사민원 시스템</t>
  </si>
  <si>
    <t>https://www.g4k.go.kr</t>
  </si>
  <si>
    <t xml:space="preserve">1. 로그인 방법이 간편했는가?
2. 민원 신청 단계가 명확히 구분되는가?
3. 절차 안내는 직관적으로 인지되는가?
4. 안내 자료에 쉽게 접근 가능한가?
</t>
  </si>
  <si>
    <t xml:space="preserve">1번.
메인 페이지 우측 하단의 [빠른민원신청] 영역에서 *“재외국민등록신청”*을 선택합니다. 초기 안내 페이지에 접속하면 상단에 절차 안내가 단계별로 표시되고, 화면 내에서 구비서류 안내가 있음을 확인합니다. 이때 ‘구비서류보기’ 버튼을 클릭해서 별도의 팝업창이 열리는 것을 확인하고, 팝업창의 내용을 상세히 열람합니다. 또한 팝업 하단에서는 위임장을 PDF 파일과 한글 파일 형식으로 각각 다운로드할 수 있음을 확인합니다.
2번.
메인 페이지 좌측 하단의 [궁금해요 – 영사민원안내] 메뉴를 선택합니다. 페이지로 이동하면, 상단에는 검색 조건을 입력할 수 있는 영역이 있고, 중앙에는 세부 분류 탭 버튼과 민원 리스트가 배열되어 있는 것을 확인합니다. 하나의 민원을 선택해 우측의 ‘안내’ 버튼을 클릭하면 상세 안내 페이지가 열리며, 이어서 ‘신청하기’ 버튼을 눌러 실제 신청 과정의 첫 단계를 확인합니다. 이때 선택하신 업무 성격에 따라 i) 로그인 팝업창이 먼저 구동되거나, ii) 해당 업무의 신청 첫 화면으로 바로 연결되는 것을 확인할 수 있습니다.
3번.
 상단메뉴 [민원신청] → “여권” → ‘여권발급상태조회’ 메뉴를 클릭합니다. 로그인 팝업창이 나타나고, 여기서 비회원로그인을 선택합니다. 비회원 인증 절차를 거치면 신청자 정보 입력 페이지로 이동하며, 화면에 본인의 이름이 표시되는 것을 확인할 수 있습니다. 이어서 주민등록번호 입력 등 추가 인증 절차가 요구됨을 확인하고 간편 로그인을 합니다.
4번.
상단메뉴 [민원안내] → “방문예약신청”을 선택합니다. 안내 페이지를 살펴본 뒤, 하단의 ‘신청하기’ 버튼을 클릭합니다. 페이지 상단에 5단계 절차 표시가 나타나고, 하단에는 재외공간 선택 영역이 있습니다.여기서 특정 공관을 선택하면 관련 안내 항목이 자동으로 채워지는 것을 확인할 수 있습니다. 이어서 다음 버튼을 눌러 민원업무 선택과 날짜 선택 화면까지 확인한 후, 사이트 좌측 상단의 로고를 클릭하여 메인 페이지로 복귀합니다.
5번.
상단메뉴 [고객센터]를 클릭합니다. 여기서 “공지사항”과 “자주 묻는 질문(FAQ)” 메뉴를 차례대로 선택해 게시물 목록과 상세 내용을 확인합니다. 이어서 “1대1문의하기”를 클릭하여 진입하면, 좌측 하단에 ‘신규’ 버튼이 있으며 이를 선택하면 문의 작성 서식 페이지가 열리는 것을 확인합니다.
6번
앞에서 제시한 테스트가 끝났다면 5분 동안 사이트를 자유롭게 이용해주세요. </t>
  </si>
  <si>
    <t>조달청</t>
  </si>
  <si>
    <t xml:space="preserve">1. 목적에 맞는 정보를 쉽게 찾을 수 있는가?
2. 검색어 입력 시 원하는 조달 정보(입찰, 등록, 제안 등)를 쉽게 찾을 수 있는가?
3. 입찰참가자격 등록, 업체등록, 수요기관 절차 등에 대한 안내가 충분히 제공되는가?
4. 콘텐츠의 가독성은 확보되어 있는가? </t>
  </si>
  <si>
    <t xml:space="preserve">1번.
상단 메뉴에서 [조달업무] → “업체등록·보증납부” → ‘업체등록’ 항목으로 들어가 ‘업무처리단계' 와 '세부절차'를 확인합니다.
2번.
같은 [조달업무] 메뉴 내의 “수요기관” → ‘이용할 수 있는 수요기관’ 페이지로 이동해, 상단 탭 중 ‘수요기관지정안내’ 항목을 클릭하고 관련 내용을 확인합니다.
3번.
다음으로 조달 사업에 대한 세부적인 이해를 위해 상단메뉴 [조달업무] → “물품구매” → ‘물품구매개요’를 클릭하고 내용을 확인하고, 이 페이지의 좌측 메뉴에서 “용역구매” → ‘개요 및 종류’ 페이지로 이동하여 용역 계약의 분류와 절차를 확인합니다.
4번.
상단메뉴 [국민참여] → “신고센터” → ‘불공정조달신고센터’를 클릭하여 관련 사이트로 이동 가능한지도 확인합니다.
5번.
조달시장 참가 요건을 검토하기 위해 상단메뉴 [공공조달 길잡이] → “정보제공” → ‘입찰참가자격등록’ 메뉴에 접속해 관련 안내와 자주 묻는 질문(FAQ) 등을 열람합니다.
6번
앞에서 제시한 테스트가 끝났다면 5분 동안 사이트를 자유롭게 이용해주세요. </t>
  </si>
  <si>
    <t>중소벤처기업부</t>
  </si>
  <si>
    <t>중소기업 현황정보</t>
  </si>
  <si>
    <t>https://sminfo.mss.go.kr</t>
  </si>
  <si>
    <t>1. 주요 기능이 직관적으로 인지되는가?
2. 세부 설명이나 내용이 읽기에 어려움이 없는가?
3. 콘텐츠는 사용자가 쉽게 이해할 수 있도록 구성되어 있는가?
4. 발급 매뉴얼, 현황등록 서류 등의 다운로드 기능이 편리한가?</t>
  </si>
  <si>
    <t xml:space="preserve">1번.
상단메뉴 [중소기업확인서발급신청]을 클릭해 "발급절차안내" 페이지로 이동하고 '법인사업자'를 클릭하고, 초기화면인 '온라인 발급절차(원칙)' 화면을 열람합니다. 그리고 이 페이지의 중앙에 있는 '법인사업자확인서 발급절차 매뉴얼&lt;창업&gt;' 버튼을 클릭해서 매뉴얼을 다운로드 합니다.
2번.
상단메뉴 [중소기업현황]을 클릭하고, 세 번째 메뉴인 "기업현황등록"으로 이동합니다. 이 페이지에서 제출서류 목록과 제출 방법을 확인한 후, 페이지 중앙 상단에 있는 '자료다운받기(hwp)'를 클릭하여 파일을 다운로드합니다.
3번.
상단메뉴 [중소기업범위]를 클릭하고 "소상공인유예" 메뉴를 선택하고 유예 혜택에 관한 내용을 열람한 뒤, 같은 메뉴 좌측에 있는 "중소기업여부자가진단" 메뉴를 클릭합니다.. 이 페이지에서 입력 서식을 확인하고, 항목별 서식 영역에 있는 세부 설명 버튼 중 하나(예: 자산총액 5천억원 미만 여부)를 클릭해 팝업으로 표시되는 세부 사항을 확인합니다.
4번.
 상단메뉴 [중소기업확인서발급신청]으로 이동해 "온라인자료제출"을 클릭합니다. 이때, 개인사업자와 법인사업자로 각각 구분된 온라인자료제출 서류목록을 확인합니다. 
5번.
로그인하지 않은 상태에서 상단메뉴 [중소기업현황]의 "기업정보"를 클릭하니, 회원 전용 서비스임을 알리는 알럿 창이 나타나는 것을 확인하고, 페이지 입장을 위해서 이후 회원 가입 및 로그인 후 해당 메뉴를 다시 클릭하니, 상세검색 페이지가 정상적으로 나타나는 것을 확인합니다.
6번
앞에서 제시한 테스트가 끝났다면 5분 동안 사이트를 자유롭게 이용해주세요. </t>
  </si>
  <si>
    <t>질병관리청</t>
  </si>
  <si>
    <t>https://www.kdca.go.kr</t>
  </si>
  <si>
    <t xml:space="preserve">1. 목적에 맞는 정보를 쉽게 찾을 수 있는가?
2. 게시물 목록에서 원하는 자료를 쉽게 열람·다운로드할 수 있는가?
3. 전문용어는 최대한 쉬운 용어로 병행, 설명되고 있는가? 
4. 이동경로가 직관적이고 혼동없이 연결되는가? 
</t>
  </si>
  <si>
    <t xml:space="preserve">1번.
상단메뉴 [감염병]에서 "감염병정보"를 클릭하여 페이지를 열람합니다. 
2번.
자녀의 건강과 직결된 생활환경 정보를 확인하기 위해 상단메뉴 [건강정보]에서 "건강위해정보"를 선택하고, 목록 중 ‘미세먼지’를 클릭합니다. 화면 중앙 상단에는 네 개의 탭이 세부 분류로 구성되어 있으며, 이 중 두 번째인 ‘건강수칙가이드’를 선택합니다. 관련 게시물 목록이 나타나고, 하나를 클릭하면 상세 자료가 열리며 자료 다운로드 기능도 제공됨을 확인할 수 있습니다.
3번.
[건강정보]의 "건강위해정보" '흡연' 메뉴에 접속합니다. 페이지 상단에는 일곱 가지 세부 분류가 표시되어 있는데, 그 중 ‘흡연의 건강영향’을 선택, 내용을 확인해 봅니다. 이후 자유롭게 홉연관련 탭메뉴들의 내용을 확인합니다. 
4번.
최신 소식과 자료를 확인하기 위해 상단메뉴 [알림·자료]의 "질병감시·조사체계현황"으로 이동합니다. 첫 번째 탭 ‘감염병’을 클릭하면 글 목록이 표시되고, 게시물 하나를 선택하면 하단에 상세 내용이 펼쳐지는 것을 확인한 뒤, 이어 좌측 메뉴 영역에서 ‘공고/공시’를 클릭하여 게시물 목록을 다시 확인하고, 특정 게시물을 선택하면 상세페이지로 이동하여 글 내용을 확인합니다. 아울러, 첨부파일 다운로드 기능이 제공됨을 확인합니다.
5번.
상단메뉴 [민원·정보공개]의 "1339 콜센터"를 클릭합니다. 이 페이지에서는 감염병 위기 시 대응을 위한 대표번호 1339 콜센터의 서비스 안내와 카카오톡을 활용한 상담 기능이 제공되는 것을 확인합니다.
6번
앞에서 제시한 테스트가 끝났다면 5분 동안 사이트를 자유롭게 이용해주세요. </t>
  </si>
  <si>
    <t>통계청(국가데이터처)</t>
  </si>
  <si>
    <t>국가통계포털</t>
  </si>
  <si>
    <t>https://sso.kosis.kr</t>
  </si>
  <si>
    <t>1. 통계정보 구분이 명확한가?
2. 주요 기능(통계표 뷰어, 검색, 다운로드 등)을 편리하게 이용할 수 있는가?
3. 원하는 기능을 쉽게 인지하였는가? 
4. 제공되는 용어가 어렵지는 않은가?</t>
  </si>
  <si>
    <t xml:space="preserve">1번.
국가통계포털 메인 화면에서 상단 메뉴 [국내통계]의 '주제별통계’를 클릭한 뒤, 관심 있는 통계 주제를 선택하여 자료를 조회합니다.
2번.
선택한 주제에 따라 자동 전환되는 통계표 뷰어 화면에서 마우스 스크롤을 통해 가독성을 확인하고,  ‘엑셀 다운로드’ 등 자료 활용 기능을 직접 사용해봅니다.
3번.
메인 화면 검색창에서 ‘보건’ 등 키워드를 입력해 자동완성으로 제시되는 추천 검색어를 확인하고, 검색 결과 페이지의 구성, 정보 접근 경로의 효율성을 점검합니다.
4번.
[국제·북한통계] 메뉴에서 ‘세계속의 한국’ 항목을 클릭하여 외부 통계포털로의 연계 이동이 원활한지 확인합니다.
5번
앞에서 제시한 테스트가 끝났다면 5분 동안 사이트를 자유롭게 이용해주세요. </t>
  </si>
  <si>
    <t>통일부</t>
  </si>
  <si>
    <t>통일부 대표누리집</t>
  </si>
  <si>
    <t>https://www.unikorea.go.kr</t>
  </si>
  <si>
    <t>1. 원하는 정보로 쉽게 이동할 수 있는가?
2. 기능 이용이 쉽고 편리한가? 
3. 콘텐츠는 사용자가 쉽게 이해할 수 있도록 구성되어 있는가?
4. 시각적 안정감은 어떠한가?</t>
  </si>
  <si>
    <t xml:space="preserve">1번.
상단메뉴에서 [알림]을 선택하고 "공지사항" 페이지로 이동하여 게시물 목록이 표시되는 것을 확인한 뒤, 그 중 하나를 선택해 상세 페이지로 진입합니다. 상세 페이지의 내용을 확인한 뒤, 우측 상단에 있는 '글자 크기 + -' 기능을 실행해 보며 화면 내 글자가 커졌다가 작아지는 변화를 직접 확인합니다. 이어서 하단에 첨부된 파일을 클릭해 다운로드와 미리보기 기능이 정상적으로 작동하는지 확인합니다.
2번.
상단메뉴 [통일부소식]에서 "주요소식"을 클릭합니다. 일반 게시판 형식이 아닌 상세 리스트 형식으로 제공되는 게시물 목록을 확인하고, 목록에 있는 이미지에 마우스를 올려봤을 때 이미지에 변화가 생기는 것을 확인합니다. 이어 이미지를 클릭해 상세 페이지로 진입하여 내용을 확인합니다. 이후 다시 [통일부소식] 메뉴로 이동하여 "대변인보고자료"를 클릭하면, Uni TV 외부 사이트로 연결되는 것을 확인합니다.
3번.
상단메뉴 [정보공개] 메뉴에서 "통일부허가법인현황"을 선택합니다. 페이지로 들어가 게시물 목록을 확인하고, 우측 상단에 있는 '다운로드' 버튼을 눌러 관련 자료를 내려받아 봅니다.
4번.
상단메뉴 [민원·참여]를 선택하여  "국민행복제안"을 선택하고 관련 안내 내용을 살펴봅니다.
5번.
상단메뉴 [통일부소개]에서 "통일부는?"로 들어가 '주요업무'를 클릭합니다. 
통일부의 주요업무를 살펴보고난 후에 좌메뉴의 '조직과 기능'을 클릭하여 통일부 조직 구성을 확인합니다. 
6번
앞에서 제시한 테스트가 끝났다면 5분 동안 사이트를 자유롭게 이용해주세요. </t>
  </si>
  <si>
    <t>특허청(지식재산처)</t>
  </si>
  <si>
    <t>https://www.kipo.go.kr</t>
  </si>
  <si>
    <t>1. 메뉴의 구조가 명확하고 직관적인가?
2. 제공되는 문서들에 대한 다운로드나 출력 기능이 편리한가?
3. 전문 용어에 간단한 용어 설명이나 안내가 함께 제공되는가?
4. 사용자 인증 과정이 편리한가?</t>
  </si>
  <si>
    <t xml:space="preserve">1번.
상단메뉴 [지식재산제도]의 "특허/실용신안"를 클릭하고 '특허심사3.0' 메뉴를 선택합니다. 특허심사 관련 정책과 절차가 정리된 페이지를 열람한 뒤, 페이지 중앙 우측 상단에 ‘공유’, ‘출력’, ‘점자뷰어보기’, ‘다운로드’ 아이콘이 배열되어 있는 것을 확인합니다. 각각의 아이콘에 마우스를 위치시키면 기능을 설명하는 안내 문구가 표시되는 것을 확인합니다. 이 중 두 번째 아이콘인 ‘인쇄하기'를 클릭하여 프린트 설정을 위한 팝업창이 구동되어 실제 출력 기능이 제공됨을 확인합니다.
2번.
다음으로 상단메뉴 [소식알림]의 "인터넷공보" →'인터넷공보안내'를 클릭합니다. 공보의 개념과 열람 방법에 대한 설명 페이지를 확인한 후, 좌측 메뉴영역에서 '기간별공보조회'를 선택합니다. 이어서 ‘공보발간현황’ 화면이 나타나는데, 여기에서 ‘공개특실’ 건수를 클릭하여 해당 목록 페이지로 이동합니다. 게시물 목록에서 ‘공보전문보기’ 버튼을 클릭하면, 뷰어 형태로 공보 원문이 열리며 공개된 특허·실용신안 정보를 직접 열람할 수 있음을 확인합니다.
3번.
이후 상단메뉴 [정책/업무]로 이동하여 "지원시책"의 세부 메뉴 중 '지원사업조회'를 클릭합니다. 화면에는 기업이나 개인이 활용할 수 있는 다양한 지원시책 목록의 게시물을 확인합니다.
4번.
특허 관련 실제 출원·심판·등록 절차를 처리하는 별도 서비스도 확인하기 위해 상단메뉴 [특허로]를 클릭합니다. 새로운 창이 열리면서 특허 전자출원 시스템인 “특허로” 사이트로 연결되며, 첫 화면에서 출원, 심판, 수수료 납부 등 전자민원 기능이 제공되는 것을 확인합니다.
5번.
다시 지식재산처 대표 누리집으로 돌아와 상단메뉴 [민원참여]에서 "고객상담"을 선택한 뒤 '특허고객상담센터'를 클릭합니다. 새로운 창으로 별도의 특허고객상담센터 사이트가 열리며, 상단 [상담안내] 메뉴에 마우스를 위치시키면 전화상담, 온라인 상담, 방문상담 등 다양한 상담 유형의 하위 메뉴 목록이 펼쳐지는 것을 확인합니다. 
6번
앞에서 제시한 테스트가 끝났다면 5분 동안 사이트를 자유롭게 이용해주세요. </t>
  </si>
  <si>
    <t>해양경찰청</t>
  </si>
  <si>
    <t>https://www.kcg.go.kr</t>
  </si>
  <si>
    <t>1. 자료가 체계적으로 제공되고, 바로가기·연계 기능이 원활한가?
2. 신청조회 등 메뉴접근이 편리한가? 
3. 게시물 내용과 첨부파일을 열람,다운로드하기 편리한가?
4. 검색 기능을 통해 원하는 정보를 신속히 찾을 수 있는가?</t>
  </si>
  <si>
    <t xml:space="preserve">1번.
상단메뉴 [새소식/알림]에서 "공지사항"을 클릭합니다. 게시물 목록이 나타나고, 그 중 하나를 선택해 상세 내용을 열람합니다. 상세 페이지에 첨부파일이 함께 제공되고 있는 것을 확인 후 이 중 하나를 선택, 직접 다운로드 기능을 통해 자료를 내려받을 수 있음을 확인합니다.
2번.
상단메뉴 [정보공개]의 "사전정보공표" 메뉴에 접속해 각 개별 항목 리스트를 확인합니다. 항목 중 하나를 선택해 ‘바로가기’를 클릭하여 해당 페이지로 연결되는 것을 확인합니다. 
3번.
페이지 상단의 네비게이션 바에서 [정보공개]의  ‘정보공개제도안내’를 클릭해 안내 페이지로 이동한 뒤, ‘정보공개청구 바로가기’를 클릭하고 정보공개 접수처 목록이 나타나는 것을 확인합니다. 
4번.
상단메뉴 [민원]에서 "적극행정"을 클릭합니다. 화면에는 첫번째 탭의 적극행정제도소개에 관한 내용을 확인하고, 나머지탭의‘국민참여’와 ‘알림/소식’‘교육/홍보자료'의 내용을 확인합니다.
5번.
상단메뉴 [기관소개]에서 "전화번호안내"를 클릭합니다. 부서별 전화번호 목록이 표시되며, 검색창에 특정 키워드를 입력하여 검색 결과를 확인해 봅니다.
6번
앞에서 제시한 테스트가 끝났다면 5분 동안 사이트를 자유롭게 이용해주세요. </t>
  </si>
  <si>
    <t>해양수산부</t>
  </si>
  <si>
    <t>수산과학원 대표누리집</t>
  </si>
  <si>
    <t>https://www.nifs.go.kr</t>
  </si>
  <si>
    <t>1. 디자인은 일관성 있게 제공되는가?
2. 외부 사이트 이동 시 새로운 창임을 명확히 안내하고, 돌아오기 기능이 쉽게 제공되는가?
3.  메뉴 선택과 이동이 편리한가?
4. 브로셔·문서 뷰어에서 확대/축소, 페이지 이동, 다운로드 기능이 손쉽고 편리하게 사용이 가능한가?</t>
  </si>
  <si>
    <t xml:space="preserve">1번.
상단메뉴 [정보공개]에서 "청렴자료"를 클릭하여 게시물 리스트를 확인합니다. 목록 중 하나를 선택하자 페이지가 열리는 것을 확인하고,  첨부파일 다운로드 등이 작동 되는것을 확인합니다.
2번.
상단메뉴 [국민소통]에서 민원서비스의"민원안내"를 클릭해 해당 페이지의 안내 내용을 읽어봅니다. 이어 민원서비스의 ‘민원신청서식’을 선택하여 각 부문별 신청 서식 안내가 나타나는 것을 확인하고, 그중 하나의 서식 파일을 다운로드합니다.
3번.
상단메뉴 [알림마당]에서 홍보메뉴의 "홍보소책자(브로셔)"를 클릭, 목록에서 첫 번째 이미지를 선택합니다. 이때 브로셔 내용을 확인할 수 있는 뷰어 창이 팝업으로 열리고, 이를 통해 내용을 열람합니다.
4번.
상단메뉴 [예보·속보]에 마우스를 올려 하위 메뉴들을 확인한 뒤, "이상해황"을 클릭합니다. 게시물 목록에서 하나를 선택하여 관련 문서가 팝업 뷰어로 열리는 것을 확인하고 내용을 열람합니다.
5번.
상단메뉴 우측에 있는 [구독] 버튼을 클릭해서 "인터넷소식지"와 "수산기술지" 항목이 하단으로 펼쳐지는 것을 확인합니다. 이 중 하나를 선택했을 때 팝업으로 구독 신청의 첫 단계인 ‘약관동의’ 페이지가 표시되는 것을 확인합니다.
6번
앞에서 제시한 테스트가 끝났다면 5분 동안 사이트를 자유롭게 이용해주세요. </t>
  </si>
  <si>
    <t>행정도시건설청</t>
  </si>
  <si>
    <t>https://naacc.go.kr</t>
  </si>
  <si>
    <t>1. 원하는 정보를 쉽게 찾을 수 있는가?
2. 콘텐츠는 이해하기 쉽게 정리되어 있는가? 
3. 첨부파일 다운로드.열람 기능이 정상적으로 작동하는가?
4. 외부 서비스로의 연계에 불편함을 느꼈는가?</t>
  </si>
  <si>
    <t xml:space="preserve">1번.
상단메뉴 [행복도시]에서 "행복도시 소개"를 클릭하고, 이어 '추진개요'를 선택합니다. 도시 건설의 개요와 지역 구분 등 관련 내용을 확인한 후, 좌측 메뉴 영역의 '지구단위계획'을 클릭하여 도시 공간계획과 관련된 세부 자료를 열람합니다.
2번.
상단메뉴 [정책자료]에서 주요업무계획의 "주요업무계획"을 클릭해 연도별 주요 정책 추진 계획을 살펴봅니다. 이어 좌측 메뉴의 '정책연구자료(새창)'를 선택하면 새 창으로 "정책연구관리(PRISM)" 사이트가 열리고, 메인 화면 상단에서 최신 연구 과제 목록이 가로 슬라이드 형식으로 표시되는 것을 확인합니다.
3번.
상단메뉴 [정보공개]의 '사전정보공표'를 클릭합니다. 게시물 목록을 확인한 뒤, 페이지 상단의 '즐겨찾는 정보공표' 영역에서 하나를 선택해 우측의 "바로가기" 버튼을 누릅니다. 그러자 팝업창이 열리면서 상세 내용과 첨부파일이 표시되고, 첨부파일을 다운로드합니다.
4번.
상단메뉴 [알림소식]에서 "디지털홍보자료"를 클릭하고, 이어 '사진뉴스' 메뉴를 선택합니다. 사진 목록 형태로 정리된 게시물을 확인하고, 하나의 게시물을 클릭해 상세 내용과 사진 자료를 열람합니다.
5번.
4의 내용 수행 후, 이전 목록 페이지로 돌아와 좌측 [바로가기서비스] 세부메뉴들을  클릭하여 페이지 내용을 확인합니다.
6번
앞에서 제시한 테스트가 끝났다면 5분 동안 사이트를 자유롭게 이용해주세요. </t>
  </si>
  <si>
    <t>행정안전부</t>
  </si>
  <si>
    <t>정부24</t>
  </si>
  <si>
    <t xml:space="preserve">1. 디자인은 일관성 있게 제공되는가?
2. 원하는 민원업무 메뉴에 도달하는 과정이 용이하며, 발급 절차가 편리하고 기능상 문제가 없는가?
3. 메뉴 선택과 이동이 편리한가?
4. 신청서식, 정책정보, 민원 목록 등 텍스트 화면이 읽기쉽고, 버튼·탭·아이콘 구분이 명확한가?
</t>
  </si>
  <si>
    <t xml:space="preserve">1번.
회원가입과 로그인을 사전에 진행합니다. 화면 우측 상단 회원정보 영역에 있는 [로그인] 버튼을 클릭하면 로그인 페이지로 이동합니다. 여러 로그인 방식이 제공되는 것을 확인한 뒤, 직접 로그인을 실행합니다.이어서 상단메뉴 [민원서비스]에서 "행정서식 간편이름"을 선택합니다. 관련 내용을 확인한 후, 페이지 우측 상단에 있는 기능 버튼 아이콘 목록을 살펴봅니다. 그중 ‘인쇄하기’ 아이콘을 클릭하면 인쇄하기 페이지가 팝업으로 나타나고, 출력 유형을 PDF로 선택한 뒤 하단의 ‘SAVE’ 버튼을 클릭하여 파일이 저장되는 것을 확인합니다.
2번.
다음으로 상단메뉴 [고객센터]에서 "자료실"을 클릭합니다. 게시물 목록이 표시되며, 목록 중 하나를 선택하여 상세 페이지로 이동합니다. 상세 화면에서는 본문 내용을 확인하고 첨부파일 목록을 확인한 뒤, 첨부파일을 클릭하여 다운로드합니다.
3번.
상단메뉴 [고객센터]의 "개선의견" 메뉴를 클릭합니다. 개선하기 신청 서식 페이지가 열리며, 신청 서식 항목이 제공되는 것을 확인합니다. 페이지 상단에는 두 개의 탭이 있음을 확인하고, 그중 ‘내역보기’를 선택하면 개선신청 접수 시 해당 내역이 목록으로 저장되어 표시된다는 점을 인지합니다.
4번.
상단메뉴 [민원서비스]에서 "민원찾기"를 선택합니다. 검색 결과와 민원 목록이 나열되는 화면이 나타나며, 각 항목 옆에는 민원업무, 안내, 발급하기 버튼이 있는 것을 확인합니다. 상단 검색 영역에 "주민등록등본"을 입력해 검색을 실행하면 결과 목록에서 ‘주민등록표 등본 발급’ 항목이 나타납니다. 여기서 ‘발급하기’ 버튼을 클릭하면 발급 페이지 첫 단계로 이동하고, ‘주민등록표 등본 발급’을 체크한 후 ‘시도 선택’, ‘시군구 선택’을 실제 주소지로 설정합니다. 이어 하단의 ‘신청하기’ 버튼을 클릭하면 로딩 안내 페이지가 표시된 후, 목록 페이지에 해당 등본이 결과물로 나타나는 것을 확인합니다.
5번.
상단메뉴 [My Gov]에서 "나의 신청내역"을 클릭합니다. 이전에 신청한 민원 내역이 목록에 표시되는지를 확인합니다.
6번
앞에서 제시한 테스트가 끝났다면 5분 동안 사이트를 자유롭게 이용해주세요. </t>
  </si>
  <si>
    <t>환경부(기후에너지환경부)</t>
  </si>
  <si>
    <t>https://www.me.go.kr</t>
  </si>
  <si>
    <t>1. 외부 시스템 링크가 정상적으로 연결되는가?
2. 배너 하단 탭 버튼, 게시물 검색·상세·첨부파일 다운로드 등 탐색 기능이 직관적으로 제공되는가?
3. [공유], [저장], [인쇄] 등 자료 활용 기능이 원활히 작동하는가?</t>
  </si>
  <si>
    <t xml:space="preserve">1번.
[정보공개] 메뉴에서 "적극행정"을 선택하고 ‘제도소개’ 클릭, 페이지로 이동합니다. 화면 상단 배너 영역에 밑에 있는 두 개의 탭 버튼을 차례로 클릭하여, 탭 전환에 따라 제공되는 정보가 정상적으로 바뀌는 것을 확인합니다. 이어서 배너 영역 우측 하단에 위치한 ‘공유’, ‘저장’, ‘인쇄’ 아이콘을 각각 실행해 봅니다. 특히 두 번째 아이콘인 주소 복사 기능을 활용하여 페이지 주소를 복사하고, 이를 본인 카카오톡 대화창에 붙여 넣어 정상 작동하는 것을 확인합니다. 마지막으로 ‘인쇄’ 아이콘을 클릭하여 인쇄용 팝업창이 구동되는지도 확인합니다.
2번.
다음으로 [법령·정책] 메뉴에서 "법령정보" → ‘행정예고’ 페이지로 이동합니다. 게시물 검색 영역과 목록이 표시되는 것을 확인하고, 목록 중 하나를 선택해 상세 페이지로 진입합니다. 해당 게시물의 내용을 확인한 뒤, 하단에 첨부 파일 목록이 제공되는 것을 확인합니다. 이 중 하나의 파일을 클릭하여 정상적으로 다운로드가 이루어지는지를 확인합니다.
3번.
[국민소통] 메뉴에서 "민원신청"을 선택하고 ‘서식자료’ 페이지에 접속합니다. 게시물 검색 영역과 목록이 표시되는 것을 확인하고, 목록 중 하나를 선택해 상세 페이지로 진입합니다. 해당 게시물의 내용을 확인합니다.
4번.
[국민소통] 메뉴에서 "국민참여"를 선택하고 ‘정부포상 추천대상자 공개검증’ 페이지로 이동합니다. 게시물 검색 영역과 목록이 표시되는 것을 확인하고, 목록 중 하나를 선택해 상세 페이지로 진입합니다. 해당 게시물의 내용을 확인합니다.
5번
앞에서 제시한 테스트가 끝났다면 5분 동안 사이트를 자유롭게 이용해주세요. </t>
  </si>
  <si>
    <r>
      <rPr>
        <u/>
        <sz val="10"/>
        <color rgb="FF1155CC"/>
        <rFont val="Arial"/>
        <family val="2"/>
      </rPr>
      <t>https://www.privacy.go.kr</t>
    </r>
  </si>
  <si>
    <r>
      <rPr>
        <u/>
        <sz val="10"/>
        <color rgb="FF1155CC"/>
        <rFont val="Arial"/>
        <family val="2"/>
      </rPr>
      <t>https://www.ftc.go.kr</t>
    </r>
  </si>
  <si>
    <r>
      <rPr>
        <u/>
        <sz val="10"/>
        <color rgb="FF1155CC"/>
        <rFont val="Arial"/>
        <family val="2"/>
      </rPr>
      <t>https://www.epost.go.kr</t>
    </r>
  </si>
  <si>
    <r>
      <rPr>
        <u/>
        <sz val="10"/>
        <color rgb="FF1155CC"/>
        <rFont val="Arial"/>
        <family val="2"/>
      </rPr>
      <t>https://unipass.customs.go.kr</t>
    </r>
  </si>
  <si>
    <r>
      <rPr>
        <u/>
        <sz val="10"/>
        <color rgb="FF1155CC"/>
        <rFont val="Arial"/>
        <family val="2"/>
      </rPr>
      <t>https://www.moe.go.kr</t>
    </r>
  </si>
  <si>
    <r>
      <rPr>
        <u/>
        <sz val="10"/>
        <color rgb="FF1155CC"/>
        <rFont val="Arial"/>
        <family val="2"/>
      </rPr>
      <t>https://simsa.mpva.go.kr</t>
    </r>
  </si>
  <si>
    <r>
      <rPr>
        <u/>
        <sz val="10"/>
        <color rgb="FF1155CC"/>
        <rFont val="Arial"/>
        <family val="2"/>
      </rPr>
      <t>https://www.heritage.go.kr</t>
    </r>
  </si>
  <si>
    <r>
      <rPr>
        <u/>
        <sz val="10"/>
        <color rgb="FF1155CC"/>
        <rFont val="Arial"/>
        <family val="2"/>
      </rPr>
      <t>https://kookbang.dema.mil.kr</t>
    </r>
  </si>
  <si>
    <r>
      <rPr>
        <u/>
        <sz val="10"/>
        <color rgb="FF1155CC"/>
        <rFont val="Arial"/>
        <family val="2"/>
      </rPr>
      <t>https://www.weather.go.kr</t>
    </r>
  </si>
  <si>
    <r>
      <rPr>
        <u/>
        <sz val="10"/>
        <color rgb="FF1155CC"/>
        <rFont val="Arial"/>
        <family val="2"/>
      </rPr>
      <t>https://www.alio.go.kr</t>
    </r>
  </si>
  <si>
    <r>
      <rPr>
        <u/>
        <sz val="10"/>
        <color rgb="FF1155CC"/>
        <rFont val="Arial"/>
        <family val="2"/>
      </rPr>
      <t>https://www.enviagro.go.kr/portal/main/main.do</t>
    </r>
  </si>
  <si>
    <r>
      <rPr>
        <u/>
        <sz val="10"/>
        <color rgb="FF1155CC"/>
        <rFont val="Arial"/>
        <family val="2"/>
      </rPr>
      <t>https://www.nongsaro.go.kr</t>
    </r>
  </si>
  <si>
    <r>
      <rPr>
        <u/>
        <sz val="10"/>
        <color rgb="FF1155CC"/>
        <rFont val="Arial"/>
        <family val="2"/>
      </rPr>
      <t>https://spo.go.kr</t>
    </r>
  </si>
  <si>
    <r>
      <rPr>
        <u/>
        <sz val="10"/>
        <color rgb="FF1155CC"/>
        <rFont val="Arial"/>
        <family val="2"/>
      </rPr>
      <t>https://www.korea.kr</t>
    </r>
  </si>
  <si>
    <r>
      <rPr>
        <u/>
        <sz val="10"/>
        <color rgb="FF1155CC"/>
        <rFont val="Arial"/>
        <family val="2"/>
      </rPr>
      <t>https://www.kcc.go.kr</t>
    </r>
  </si>
  <si>
    <r>
      <rPr>
        <u/>
        <sz val="10"/>
        <color rgb="FF1155CC"/>
        <rFont val="Arial"/>
        <family val="2"/>
      </rPr>
      <t>https://www.kics.go.kr</t>
    </r>
  </si>
  <si>
    <r>
      <rPr>
        <u/>
        <sz val="10"/>
        <color rgb="FF1155CC"/>
        <rFont val="Arial"/>
        <family val="2"/>
      </rPr>
      <t>https://www.15774129.go.kr/portal/esky/main/main.do</t>
    </r>
  </si>
  <si>
    <r>
      <rPr>
        <u/>
        <sz val="10"/>
        <color rgb="FF1155CC"/>
        <rFont val="Arial"/>
        <family val="2"/>
      </rPr>
      <t>https://www.foresttrip.go.kr/main.do</t>
    </r>
  </si>
  <si>
    <r>
      <rPr>
        <u/>
        <sz val="10"/>
        <color rgb="FF1155CC"/>
        <rFont val="Arial"/>
        <family val="2"/>
      </rPr>
      <t>https://www.safetykorea.kr</t>
    </r>
  </si>
  <si>
    <r>
      <rPr>
        <u/>
        <sz val="10"/>
        <color rgb="FF1155CC"/>
        <rFont val="Arial"/>
        <family val="2"/>
      </rPr>
      <t>https://www.saemangeum.go.kr</t>
    </r>
  </si>
  <si>
    <r>
      <rPr>
        <u/>
        <sz val="10"/>
        <color rgb="FF1155CC"/>
        <rFont val="Arial"/>
        <family val="2"/>
      </rPr>
      <t>https://www.passport.go.kr</t>
    </r>
  </si>
  <si>
    <r>
      <rPr>
        <u/>
        <sz val="10"/>
        <color rgb="FF1155CC"/>
        <rFont val="Arial"/>
        <family val="2"/>
      </rPr>
      <t>https://www.nssc.go.kr</t>
    </r>
  </si>
  <si>
    <r>
      <rPr>
        <u/>
        <sz val="10"/>
        <color rgb="FF1155CC"/>
        <rFont val="Arial"/>
        <family val="2"/>
      </rPr>
      <t>https://www.peti.go.kr</t>
    </r>
  </si>
  <si>
    <r>
      <rPr>
        <u/>
        <sz val="10"/>
        <color rgb="FF1155CC"/>
        <rFont val="Arial"/>
        <family val="2"/>
      </rPr>
      <t>https://www.pps.go.kr</t>
    </r>
  </si>
  <si>
    <r>
      <rPr>
        <u/>
        <sz val="10"/>
        <color rgb="FF1155CC"/>
        <rFont val="Arial"/>
        <family val="2"/>
      </rPr>
      <t>https://plus.gov.kr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</si>
</sst>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0"/>
      <color rgb="FF000000"/>
      <name val="Arial"/>
      <scheme val="minor"/>
    </font>
    <font>
      <b/>
      <sz val="11"/>
      <color theme="1"/>
      <name val="Arial"/>
      <family val="2"/>
      <scheme val="minor"/>
    </font>
    <font>
      <b/>
      <sz val="10"/>
      <color rgb="FF000000"/>
      <name val="Arial"/>
      <family val="2"/>
    </font>
    <font>
      <sz val="10"/>
      <color rgb="FF000000"/>
      <name val="Malgun Gothic"/>
      <family val="3"/>
      <charset val="129"/>
    </font>
    <font>
      <sz val="9"/>
      <color rgb="FF262626"/>
      <name val="Malgun Gothic"/>
      <family val="3"/>
      <charset val="129"/>
    </font>
    <font>
      <u/>
      <sz val="10"/>
      <color rgb="FF0000FF"/>
      <name val="Arial"/>
      <family val="2"/>
    </font>
    <font>
      <sz val="10"/>
      <color theme="1"/>
      <name val="Arial"/>
      <family val="2"/>
      <scheme val="minor"/>
    </font>
    <font>
      <sz val="10"/>
      <color theme="1"/>
      <name val="Arial"/>
      <family val="2"/>
    </font>
    <font>
      <u/>
      <sz val="10"/>
      <color rgb="FF0000FF"/>
      <name val="Arial"/>
      <family val="2"/>
    </font>
    <font>
      <u/>
      <sz val="10"/>
      <color rgb="FF0000FF"/>
      <name val="Arial"/>
      <family val="2"/>
    </font>
    <font>
      <u/>
      <sz val="9"/>
      <color rgb="FF0000FF"/>
      <name val="Malgun Gothic"/>
      <family val="3"/>
      <charset val="129"/>
    </font>
    <font>
      <u/>
      <sz val="9"/>
      <color rgb="FF0000FF"/>
      <name val="Malgun Gothic"/>
      <family val="3"/>
      <charset val="129"/>
    </font>
    <font>
      <u/>
      <sz val="10"/>
      <color rgb="FF0000FF"/>
      <name val="Arial"/>
      <family val="2"/>
    </font>
    <font>
      <u/>
      <sz val="10"/>
      <color rgb="FF1155CC"/>
      <name val="Arial"/>
      <family val="2"/>
    </font>
    <font>
      <sz val="8"/>
      <name val="Arial"/>
      <family val="3"/>
      <charset val="129"/>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top"/>
    </xf>
    <xf numFmtId="0" fontId="2" fillId="2" borderId="1" xfId="0" applyFont="1" applyFill="1" applyBorder="1" applyAlignment="1">
      <alignment horizontal="right"/>
    </xf>
    <xf numFmtId="2" fontId="2" fillId="2" borderId="1" xfId="0" applyNumberFormat="1" applyFont="1" applyFill="1" applyBorder="1" applyAlignment="1">
      <alignment horizont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6" fillId="0" borderId="1" xfId="0" applyFont="1" applyBorder="1" applyAlignment="1">
      <alignment horizontal="left" vertical="top"/>
    </xf>
    <xf numFmtId="0" fontId="6" fillId="0" borderId="1" xfId="0" applyFont="1" applyBorder="1" applyAlignment="1">
      <alignment vertical="top"/>
    </xf>
    <xf numFmtId="0" fontId="7" fillId="3" borderId="1" xfId="0" applyFont="1" applyFill="1" applyBorder="1" applyAlignment="1">
      <alignment horizontal="right" vertical="center"/>
    </xf>
    <xf numFmtId="2" fontId="7" fillId="3" borderId="1" xfId="0" applyNumberFormat="1" applyFont="1" applyFill="1" applyBorder="1" applyAlignment="1">
      <alignment horizontal="right" vertical="center"/>
    </xf>
    <xf numFmtId="0" fontId="8" fillId="0" borderId="1" xfId="0" applyFont="1" applyBorder="1" applyAlignment="1">
      <alignment horizontal="left" vertical="center"/>
    </xf>
    <xf numFmtId="0" fontId="9" fillId="0" borderId="0" xfId="0" applyFont="1" applyAlignment="1">
      <alignment horizontal="left" vertical="center"/>
    </xf>
    <xf numFmtId="0" fontId="4" fillId="2" borderId="1" xfId="0" applyFont="1" applyFill="1" applyBorder="1" applyAlignment="1">
      <alignment horizontal="center" vertical="center"/>
    </xf>
    <xf numFmtId="0" fontId="10" fillId="2" borderId="1" xfId="0" applyFont="1" applyFill="1" applyBorder="1" applyAlignment="1">
      <alignment horizontal="left" vertical="center"/>
    </xf>
    <xf numFmtId="0" fontId="11" fillId="2" borderId="1" xfId="0" applyFont="1" applyFill="1" applyBorder="1" applyAlignment="1">
      <alignment horizontal="left" vertical="center"/>
    </xf>
    <xf numFmtId="0" fontId="12" fillId="0" borderId="0" xfId="0" applyFont="1" applyAlignment="1">
      <alignment horizontal="left" vertical="center"/>
    </xf>
    <xf numFmtId="0" fontId="7" fillId="0" borderId="1" xfId="0" applyFont="1" applyBorder="1" applyAlignment="1">
      <alignment horizontal="righ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ometax.go.kr/" TargetMode="External"/><Relationship Id="rId18" Type="http://schemas.openxmlformats.org/officeDocument/2006/relationships/hyperlink" Target="https://www.enviagro.go.kr/portal/main/main.do" TargetMode="External"/><Relationship Id="rId26" Type="http://schemas.openxmlformats.org/officeDocument/2006/relationships/hyperlink" Target="https://mwpt.mma.go.kr/" TargetMode="External"/><Relationship Id="rId39" Type="http://schemas.openxmlformats.org/officeDocument/2006/relationships/hyperlink" Target="https://www.pps.go.kr/" TargetMode="External"/><Relationship Id="rId21" Type="http://schemas.openxmlformats.org/officeDocument/2006/relationships/hyperlink" Target="https://www.korea.kr/" TargetMode="External"/><Relationship Id="rId34" Type="http://schemas.openxmlformats.org/officeDocument/2006/relationships/hyperlink" Target="https://www.passport.go.kr/" TargetMode="External"/><Relationship Id="rId42" Type="http://schemas.openxmlformats.org/officeDocument/2006/relationships/hyperlink" Target="https://sso.kosis.kr/" TargetMode="External"/><Relationship Id="rId47" Type="http://schemas.openxmlformats.org/officeDocument/2006/relationships/hyperlink" Target="https://naacc.go.kr/" TargetMode="External"/><Relationship Id="rId7" Type="http://schemas.openxmlformats.org/officeDocument/2006/relationships/hyperlink" Target="https://www.moe.go.kr/" TargetMode="External"/><Relationship Id="rId2" Type="http://schemas.openxmlformats.org/officeDocument/2006/relationships/hyperlink" Target="https://www.safe182.go.kr/" TargetMode="External"/><Relationship Id="rId16" Type="http://schemas.openxmlformats.org/officeDocument/2006/relationships/hyperlink" Target="https://www.weather.go.kr/" TargetMode="External"/><Relationship Id="rId29" Type="http://schemas.openxmlformats.org/officeDocument/2006/relationships/hyperlink" Target="https://www.safetykorea.kr/" TargetMode="External"/><Relationship Id="rId11" Type="http://schemas.openxmlformats.org/officeDocument/2006/relationships/hyperlink" Target="https://www.epeople.go.kr/" TargetMode="External"/><Relationship Id="rId24" Type="http://schemas.openxmlformats.org/officeDocument/2006/relationships/hyperlink" Target="https://www.kics.go.kr/" TargetMode="External"/><Relationship Id="rId32" Type="http://schemas.openxmlformats.org/officeDocument/2006/relationships/hyperlink" Target="https://www.mfds.go.kr/" TargetMode="External"/><Relationship Id="rId37" Type="http://schemas.openxmlformats.org/officeDocument/2006/relationships/hyperlink" Target="https://www.peti.go.kr/" TargetMode="External"/><Relationship Id="rId40" Type="http://schemas.openxmlformats.org/officeDocument/2006/relationships/hyperlink" Target="https://sminfo.mss.go.kr/" TargetMode="External"/><Relationship Id="rId45" Type="http://schemas.openxmlformats.org/officeDocument/2006/relationships/hyperlink" Target="https://www.kcg.go.kr/" TargetMode="External"/><Relationship Id="rId5" Type="http://schemas.openxmlformats.org/officeDocument/2006/relationships/hyperlink" Target="https://www.epost.go.kr/" TargetMode="External"/><Relationship Id="rId15" Type="http://schemas.openxmlformats.org/officeDocument/2006/relationships/hyperlink" Target="https://www.fsc.go.kr/" TargetMode="External"/><Relationship Id="rId23" Type="http://schemas.openxmlformats.org/officeDocument/2006/relationships/hyperlink" Target="https://www.dapa.go.kr/" TargetMode="External"/><Relationship Id="rId28" Type="http://schemas.openxmlformats.org/officeDocument/2006/relationships/hyperlink" Target="https://www.foresttrip.go.kr/main.do" TargetMode="External"/><Relationship Id="rId36" Type="http://schemas.openxmlformats.org/officeDocument/2006/relationships/hyperlink" Target="https://www.nssc.go.kr/" TargetMode="External"/><Relationship Id="rId49" Type="http://schemas.openxmlformats.org/officeDocument/2006/relationships/hyperlink" Target="https://www.me.go.kr/" TargetMode="External"/><Relationship Id="rId10" Type="http://schemas.openxmlformats.org/officeDocument/2006/relationships/hyperlink" Target="https://www.evaluation.go.kr/" TargetMode="External"/><Relationship Id="rId19" Type="http://schemas.openxmlformats.org/officeDocument/2006/relationships/hyperlink" Target="https://www.nongsaro.go.kr/" TargetMode="External"/><Relationship Id="rId31" Type="http://schemas.openxmlformats.org/officeDocument/2006/relationships/hyperlink" Target="https://www.nfa.go.kr/" TargetMode="External"/><Relationship Id="rId44" Type="http://schemas.openxmlformats.org/officeDocument/2006/relationships/hyperlink" Target="https://www.kipo.go.kr/" TargetMode="External"/><Relationship Id="rId4" Type="http://schemas.openxmlformats.org/officeDocument/2006/relationships/hyperlink" Target="https://www.ftc.go.kr/" TargetMode="External"/><Relationship Id="rId9" Type="http://schemas.openxmlformats.org/officeDocument/2006/relationships/hyperlink" Target="https://www.heritage.go.kr/" TargetMode="External"/><Relationship Id="rId14" Type="http://schemas.openxmlformats.org/officeDocument/2006/relationships/hyperlink" Target="https://map.ngii.go.kr/" TargetMode="External"/><Relationship Id="rId22" Type="http://schemas.openxmlformats.org/officeDocument/2006/relationships/hyperlink" Target="https://www.kcc.go.kr/" TargetMode="External"/><Relationship Id="rId27" Type="http://schemas.openxmlformats.org/officeDocument/2006/relationships/hyperlink" Target="https://www.15774129.go.kr/portal/esky/main/main.do" TargetMode="External"/><Relationship Id="rId30" Type="http://schemas.openxmlformats.org/officeDocument/2006/relationships/hyperlink" Target="https://www.saemangeum.go.kr/" TargetMode="External"/><Relationship Id="rId35" Type="http://schemas.openxmlformats.org/officeDocument/2006/relationships/hyperlink" Target="https://www.kasa.go.kr/" TargetMode="External"/><Relationship Id="rId43" Type="http://schemas.openxmlformats.org/officeDocument/2006/relationships/hyperlink" Target="https://www.unikorea.go.kr/" TargetMode="External"/><Relationship Id="rId48" Type="http://schemas.openxmlformats.org/officeDocument/2006/relationships/hyperlink" Target="https://plus.gov.kr/" TargetMode="External"/><Relationship Id="rId8" Type="http://schemas.openxmlformats.org/officeDocument/2006/relationships/hyperlink" Target="https://simsa.mpva.go.kr/" TargetMode="External"/><Relationship Id="rId3" Type="http://schemas.openxmlformats.org/officeDocument/2006/relationships/hyperlink" Target="https://www.moel.go.kr/" TargetMode="External"/><Relationship Id="rId12" Type="http://schemas.openxmlformats.org/officeDocument/2006/relationships/hyperlink" Target="https://kookbang.dema.mil.kr/" TargetMode="External"/><Relationship Id="rId17" Type="http://schemas.openxmlformats.org/officeDocument/2006/relationships/hyperlink" Target="https://www.alio.go.kr/" TargetMode="External"/><Relationship Id="rId25" Type="http://schemas.openxmlformats.org/officeDocument/2006/relationships/hyperlink" Target="https://www.law.go.kr/" TargetMode="External"/><Relationship Id="rId33" Type="http://schemas.openxmlformats.org/officeDocument/2006/relationships/hyperlink" Target="https://www.mogef.go.kr/" TargetMode="External"/><Relationship Id="rId38" Type="http://schemas.openxmlformats.org/officeDocument/2006/relationships/hyperlink" Target="https://www.g4k.go.kr/" TargetMode="External"/><Relationship Id="rId46" Type="http://schemas.openxmlformats.org/officeDocument/2006/relationships/hyperlink" Target="https://www.nifs.go.kr/" TargetMode="External"/><Relationship Id="rId20" Type="http://schemas.openxmlformats.org/officeDocument/2006/relationships/hyperlink" Target="https://spo.go.kr/" TargetMode="External"/><Relationship Id="rId41" Type="http://schemas.openxmlformats.org/officeDocument/2006/relationships/hyperlink" Target="https://www.kdca.go.kr/" TargetMode="External"/><Relationship Id="rId1" Type="http://schemas.openxmlformats.org/officeDocument/2006/relationships/hyperlink" Target="https://www.privacy.go.kr/" TargetMode="External"/><Relationship Id="rId6" Type="http://schemas.openxmlformats.org/officeDocument/2006/relationships/hyperlink" Target="https://unipass.customs.go.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S990"/>
  <sheetViews>
    <sheetView tabSelected="1" workbookViewId="0">
      <selection activeCell="D1" sqref="D1"/>
    </sheetView>
  </sheetViews>
  <sheetFormatPr defaultColWidth="12.5703125" defaultRowHeight="15.75" customHeight="1"/>
  <cols>
    <col min="1" max="1" width="4.85546875" customWidth="1"/>
    <col min="2" max="2" width="30.42578125" customWidth="1"/>
    <col min="3" max="3" width="17.42578125" customWidth="1"/>
    <col min="4" max="4" width="40.42578125" customWidth="1"/>
    <col min="5" max="5" width="60" customWidth="1"/>
    <col min="6" max="6" width="316.28515625" customWidth="1"/>
  </cols>
  <sheetData>
    <row r="1" spans="2:19">
      <c r="B1" s="1" t="s">
        <v>0</v>
      </c>
      <c r="C1" s="1" t="s">
        <v>1</v>
      </c>
      <c r="D1" s="1" t="s">
        <v>2</v>
      </c>
      <c r="E1" s="2" t="s">
        <v>3</v>
      </c>
      <c r="F1" s="2" t="s">
        <v>4</v>
      </c>
      <c r="G1" s="3" t="s">
        <v>5</v>
      </c>
      <c r="H1" s="3" t="s">
        <v>6</v>
      </c>
      <c r="I1" s="3" t="s">
        <v>7</v>
      </c>
      <c r="J1" s="3" t="s">
        <v>8</v>
      </c>
      <c r="K1" s="3" t="s">
        <v>9</v>
      </c>
      <c r="L1" s="3" t="s">
        <v>10</v>
      </c>
      <c r="M1" s="3" t="s">
        <v>11</v>
      </c>
      <c r="N1" s="3" t="s">
        <v>12</v>
      </c>
      <c r="O1" s="3" t="s">
        <v>13</v>
      </c>
      <c r="P1" s="3" t="s">
        <v>14</v>
      </c>
      <c r="Q1" s="4" t="s">
        <v>15</v>
      </c>
      <c r="R1" s="4" t="s">
        <v>16</v>
      </c>
      <c r="S1" s="4" t="s">
        <v>17</v>
      </c>
    </row>
    <row r="2" spans="2:19">
      <c r="B2" s="5" t="s">
        <v>18</v>
      </c>
      <c r="C2" s="6" t="s">
        <v>19</v>
      </c>
      <c r="D2" s="7" t="s">
        <v>220</v>
      </c>
      <c r="E2" s="8" t="s">
        <v>20</v>
      </c>
      <c r="F2" s="9" t="s">
        <v>21</v>
      </c>
      <c r="G2" s="10">
        <v>4.67</v>
      </c>
      <c r="H2" s="10">
        <v>4</v>
      </c>
      <c r="I2" s="10">
        <v>4.67</v>
      </c>
      <c r="J2" s="10">
        <v>4.17</v>
      </c>
      <c r="K2" s="10">
        <v>4</v>
      </c>
      <c r="L2" s="10">
        <v>4.17</v>
      </c>
      <c r="M2" s="10">
        <v>4.17</v>
      </c>
      <c r="N2" s="10">
        <v>4</v>
      </c>
      <c r="O2" s="10">
        <v>4.17</v>
      </c>
      <c r="P2" s="10">
        <v>4</v>
      </c>
      <c r="Q2" s="11">
        <f t="shared" ref="Q2:Q10" si="0">(G2+H2+I2+J2+K2+L2)/6</f>
        <v>4.28</v>
      </c>
      <c r="R2" s="11">
        <f t="shared" ref="R2:R21" si="1">(M2+N2+O2+P2)/4</f>
        <v>4.085</v>
      </c>
      <c r="S2" s="11">
        <f t="shared" ref="S2:S50" si="2">SUM(G2:P2)/10</f>
        <v>4.202</v>
      </c>
    </row>
    <row r="3" spans="2:19">
      <c r="B3" s="5" t="s">
        <v>22</v>
      </c>
      <c r="C3" s="6" t="s">
        <v>23</v>
      </c>
      <c r="D3" s="12" t="s">
        <v>24</v>
      </c>
      <c r="E3" s="9" t="s">
        <v>25</v>
      </c>
      <c r="F3" s="9" t="s">
        <v>26</v>
      </c>
      <c r="G3" s="10">
        <v>3.83</v>
      </c>
      <c r="H3" s="10">
        <v>3.67</v>
      </c>
      <c r="I3" s="10">
        <v>4.33</v>
      </c>
      <c r="J3" s="10">
        <v>3.83</v>
      </c>
      <c r="K3" s="10">
        <v>3.5</v>
      </c>
      <c r="L3" s="10">
        <v>4.33</v>
      </c>
      <c r="M3" s="10">
        <v>3.5</v>
      </c>
      <c r="N3" s="10">
        <v>4</v>
      </c>
      <c r="O3" s="10">
        <v>4.17</v>
      </c>
      <c r="P3" s="10">
        <v>3.83</v>
      </c>
      <c r="Q3" s="11">
        <f t="shared" si="0"/>
        <v>3.9150000000000005</v>
      </c>
      <c r="R3" s="11">
        <f t="shared" si="1"/>
        <v>3.875</v>
      </c>
      <c r="S3" s="11">
        <f t="shared" si="2"/>
        <v>3.899</v>
      </c>
    </row>
    <row r="4" spans="2:19">
      <c r="B4" s="5" t="s">
        <v>27</v>
      </c>
      <c r="C4" s="6" t="s">
        <v>28</v>
      </c>
      <c r="D4" s="12" t="s">
        <v>29</v>
      </c>
      <c r="E4" s="9" t="s">
        <v>30</v>
      </c>
      <c r="F4" s="9" t="s">
        <v>31</v>
      </c>
      <c r="G4" s="10">
        <v>4.67</v>
      </c>
      <c r="H4" s="10">
        <v>4.17</v>
      </c>
      <c r="I4" s="10">
        <v>4.5</v>
      </c>
      <c r="J4" s="10">
        <v>4.5</v>
      </c>
      <c r="K4" s="10">
        <v>4.5</v>
      </c>
      <c r="L4" s="10">
        <v>4.17</v>
      </c>
      <c r="M4" s="10">
        <v>4</v>
      </c>
      <c r="N4" s="10">
        <v>4.17</v>
      </c>
      <c r="O4" s="10">
        <v>4.33</v>
      </c>
      <c r="P4" s="10">
        <v>4.33</v>
      </c>
      <c r="Q4" s="11">
        <f t="shared" si="0"/>
        <v>4.418333333333333</v>
      </c>
      <c r="R4" s="11">
        <f t="shared" si="1"/>
        <v>4.2074999999999996</v>
      </c>
      <c r="S4" s="11">
        <f t="shared" si="2"/>
        <v>4.3339999999999996</v>
      </c>
    </row>
    <row r="5" spans="2:19">
      <c r="B5" s="5" t="s">
        <v>32</v>
      </c>
      <c r="C5" s="6" t="s">
        <v>28</v>
      </c>
      <c r="D5" s="13" t="s">
        <v>221</v>
      </c>
      <c r="E5" s="9" t="s">
        <v>33</v>
      </c>
      <c r="F5" s="9" t="s">
        <v>34</v>
      </c>
      <c r="G5" s="10">
        <v>4.5</v>
      </c>
      <c r="H5" s="10">
        <v>4.33</v>
      </c>
      <c r="I5" s="10">
        <v>4.5</v>
      </c>
      <c r="J5" s="10">
        <v>4.67</v>
      </c>
      <c r="K5" s="10">
        <v>4.33</v>
      </c>
      <c r="L5" s="10">
        <v>4.67</v>
      </c>
      <c r="M5" s="10">
        <v>4.67</v>
      </c>
      <c r="N5" s="10">
        <v>4.83</v>
      </c>
      <c r="O5" s="10">
        <v>4.67</v>
      </c>
      <c r="P5" s="10">
        <v>4.67</v>
      </c>
      <c r="Q5" s="11">
        <f t="shared" si="0"/>
        <v>4.5</v>
      </c>
      <c r="R5" s="11">
        <f t="shared" si="1"/>
        <v>4.71</v>
      </c>
      <c r="S5" s="11">
        <f t="shared" si="2"/>
        <v>4.5840000000000005</v>
      </c>
    </row>
    <row r="6" spans="2:19">
      <c r="B6" s="5" t="s">
        <v>35</v>
      </c>
      <c r="C6" s="14" t="s">
        <v>36</v>
      </c>
      <c r="D6" s="7" t="s">
        <v>222</v>
      </c>
      <c r="E6" s="9" t="s">
        <v>37</v>
      </c>
      <c r="F6" s="9" t="s">
        <v>38</v>
      </c>
      <c r="G6" s="10">
        <v>4.83</v>
      </c>
      <c r="H6" s="10">
        <v>4.17</v>
      </c>
      <c r="I6" s="10">
        <v>4.5</v>
      </c>
      <c r="J6" s="10">
        <v>4.17</v>
      </c>
      <c r="K6" s="10">
        <v>4.33</v>
      </c>
      <c r="L6" s="10">
        <v>4</v>
      </c>
      <c r="M6" s="10">
        <v>3.67</v>
      </c>
      <c r="N6" s="10">
        <v>3.83</v>
      </c>
      <c r="O6" s="10">
        <v>4</v>
      </c>
      <c r="P6" s="10">
        <v>3.33</v>
      </c>
      <c r="Q6" s="11">
        <f t="shared" si="0"/>
        <v>4.333333333333333</v>
      </c>
      <c r="R6" s="11">
        <f t="shared" si="1"/>
        <v>3.7075</v>
      </c>
      <c r="S6" s="11">
        <f t="shared" si="2"/>
        <v>4.0830000000000002</v>
      </c>
    </row>
    <row r="7" spans="2:19">
      <c r="B7" s="5" t="s">
        <v>39</v>
      </c>
      <c r="C7" s="6" t="s">
        <v>40</v>
      </c>
      <c r="D7" s="7" t="s">
        <v>223</v>
      </c>
      <c r="E7" s="9" t="s">
        <v>41</v>
      </c>
      <c r="F7" s="9" t="s">
        <v>42</v>
      </c>
      <c r="G7" s="10">
        <v>4.67</v>
      </c>
      <c r="H7" s="10">
        <v>4.17</v>
      </c>
      <c r="I7" s="10">
        <v>4</v>
      </c>
      <c r="J7" s="10">
        <v>4.33</v>
      </c>
      <c r="K7" s="10">
        <v>4</v>
      </c>
      <c r="L7" s="10">
        <v>4.17</v>
      </c>
      <c r="M7" s="10">
        <v>3.33</v>
      </c>
      <c r="N7" s="10">
        <v>3.83</v>
      </c>
      <c r="O7" s="10">
        <v>3.33</v>
      </c>
      <c r="P7" s="10">
        <v>4</v>
      </c>
      <c r="Q7" s="11">
        <f t="shared" si="0"/>
        <v>4.2233333333333336</v>
      </c>
      <c r="R7" s="11">
        <f t="shared" si="1"/>
        <v>3.6225000000000001</v>
      </c>
      <c r="S7" s="11">
        <f t="shared" si="2"/>
        <v>3.9829999999999997</v>
      </c>
    </row>
    <row r="8" spans="2:19">
      <c r="B8" s="5" t="s">
        <v>43</v>
      </c>
      <c r="C8" s="14" t="s">
        <v>28</v>
      </c>
      <c r="D8" s="7" t="s">
        <v>224</v>
      </c>
      <c r="E8" s="9" t="s">
        <v>44</v>
      </c>
      <c r="F8" s="9" t="s">
        <v>45</v>
      </c>
      <c r="G8" s="10">
        <v>4.67</v>
      </c>
      <c r="H8" s="10">
        <v>4.67</v>
      </c>
      <c r="I8" s="10">
        <v>4.5</v>
      </c>
      <c r="J8" s="10">
        <v>4.67</v>
      </c>
      <c r="K8" s="10">
        <v>4.83</v>
      </c>
      <c r="L8" s="10">
        <v>4.5</v>
      </c>
      <c r="M8" s="10">
        <v>4.33</v>
      </c>
      <c r="N8" s="10">
        <v>4.33</v>
      </c>
      <c r="O8" s="10">
        <v>4.33</v>
      </c>
      <c r="P8" s="10">
        <v>4.33</v>
      </c>
      <c r="Q8" s="11">
        <f t="shared" si="0"/>
        <v>4.6399999999999997</v>
      </c>
      <c r="R8" s="11">
        <f t="shared" si="1"/>
        <v>4.33</v>
      </c>
      <c r="S8" s="11">
        <f t="shared" si="2"/>
        <v>4.5159999999999991</v>
      </c>
    </row>
    <row r="9" spans="2:19">
      <c r="B9" s="5" t="s">
        <v>46</v>
      </c>
      <c r="C9" s="6" t="s">
        <v>47</v>
      </c>
      <c r="D9" s="7" t="s">
        <v>225</v>
      </c>
      <c r="E9" s="9" t="s">
        <v>48</v>
      </c>
      <c r="F9" s="9" t="s">
        <v>49</v>
      </c>
      <c r="G9" s="10">
        <v>4.83</v>
      </c>
      <c r="H9" s="10">
        <v>4.17</v>
      </c>
      <c r="I9" s="10">
        <v>4</v>
      </c>
      <c r="J9" s="10">
        <v>4.5</v>
      </c>
      <c r="K9" s="10">
        <v>4.5</v>
      </c>
      <c r="L9" s="10">
        <v>4.5</v>
      </c>
      <c r="M9" s="10">
        <v>4.17</v>
      </c>
      <c r="N9" s="10">
        <v>4</v>
      </c>
      <c r="O9" s="10">
        <v>4</v>
      </c>
      <c r="P9" s="10">
        <v>3.83</v>
      </c>
      <c r="Q9" s="11">
        <f t="shared" si="0"/>
        <v>4.416666666666667</v>
      </c>
      <c r="R9" s="11">
        <f t="shared" si="1"/>
        <v>4</v>
      </c>
      <c r="S9" s="11">
        <f t="shared" si="2"/>
        <v>4.25</v>
      </c>
    </row>
    <row r="10" spans="2:19">
      <c r="B10" s="5" t="s">
        <v>50</v>
      </c>
      <c r="C10" s="6" t="s">
        <v>51</v>
      </c>
      <c r="D10" s="13" t="s">
        <v>226</v>
      </c>
      <c r="E10" s="9" t="s">
        <v>52</v>
      </c>
      <c r="F10" s="9" t="s">
        <v>53</v>
      </c>
      <c r="G10" s="10">
        <v>4.5</v>
      </c>
      <c r="H10" s="10">
        <v>4.33</v>
      </c>
      <c r="I10" s="10">
        <v>4</v>
      </c>
      <c r="J10" s="10">
        <v>4.67</v>
      </c>
      <c r="K10" s="10">
        <v>4.67</v>
      </c>
      <c r="L10" s="10">
        <v>4.33</v>
      </c>
      <c r="M10" s="10">
        <v>3.67</v>
      </c>
      <c r="N10" s="10">
        <v>3.83</v>
      </c>
      <c r="O10" s="10">
        <v>4.17</v>
      </c>
      <c r="P10" s="10">
        <v>3.67</v>
      </c>
      <c r="Q10" s="11">
        <f t="shared" si="0"/>
        <v>4.416666666666667</v>
      </c>
      <c r="R10" s="11">
        <f t="shared" si="1"/>
        <v>3.835</v>
      </c>
      <c r="S10" s="11">
        <f t="shared" si="2"/>
        <v>4.1840000000000002</v>
      </c>
    </row>
    <row r="11" spans="2:19">
      <c r="B11" s="5" t="s">
        <v>54</v>
      </c>
      <c r="C11" s="6" t="s">
        <v>55</v>
      </c>
      <c r="D11" s="15" t="s">
        <v>56</v>
      </c>
      <c r="E11" s="9" t="s">
        <v>57</v>
      </c>
      <c r="F11" s="9" t="s">
        <v>58</v>
      </c>
      <c r="G11" s="10">
        <v>4.5</v>
      </c>
      <c r="H11" s="10">
        <v>4.83</v>
      </c>
      <c r="I11" s="10">
        <v>4.67</v>
      </c>
      <c r="J11" s="10">
        <v>4.83</v>
      </c>
      <c r="K11" s="10">
        <v>3.83</v>
      </c>
      <c r="L11" s="18">
        <v>4.67</v>
      </c>
      <c r="M11" s="10">
        <v>4.5</v>
      </c>
      <c r="N11" s="10">
        <v>4.33</v>
      </c>
      <c r="O11" s="10">
        <v>4.5</v>
      </c>
      <c r="P11" s="10">
        <v>4.17</v>
      </c>
      <c r="Q11" s="11">
        <f>(G11+H11+I11+J11+K11+L10)/6</f>
        <v>4.4983333333333322</v>
      </c>
      <c r="R11" s="11">
        <f t="shared" si="1"/>
        <v>4.375</v>
      </c>
      <c r="S11" s="11">
        <f t="shared" si="2"/>
        <v>4.4829999999999997</v>
      </c>
    </row>
    <row r="12" spans="2:19">
      <c r="B12" s="5" t="s">
        <v>59</v>
      </c>
      <c r="C12" s="6" t="s">
        <v>60</v>
      </c>
      <c r="D12" s="16" t="s">
        <v>61</v>
      </c>
      <c r="E12" s="9" t="s">
        <v>62</v>
      </c>
      <c r="F12" s="9" t="s">
        <v>63</v>
      </c>
      <c r="G12" s="10">
        <v>4.67</v>
      </c>
      <c r="H12" s="10">
        <v>4.5</v>
      </c>
      <c r="I12" s="10">
        <v>3.83</v>
      </c>
      <c r="J12" s="10">
        <v>3.83</v>
      </c>
      <c r="K12" s="10">
        <v>3.67</v>
      </c>
      <c r="L12" s="10">
        <v>3.83</v>
      </c>
      <c r="M12" s="10">
        <v>4.33</v>
      </c>
      <c r="N12" s="10">
        <v>4.33</v>
      </c>
      <c r="O12" s="10">
        <v>4</v>
      </c>
      <c r="P12" s="10">
        <v>4.33</v>
      </c>
      <c r="Q12" s="11">
        <f t="shared" ref="Q12:Q50" si="3">(G12+H12+I12+J12+K12+L12)/6</f>
        <v>4.0549999999999997</v>
      </c>
      <c r="R12" s="11">
        <f t="shared" si="1"/>
        <v>4.2475000000000005</v>
      </c>
      <c r="S12" s="11">
        <f t="shared" si="2"/>
        <v>4.1319999999999997</v>
      </c>
    </row>
    <row r="13" spans="2:19">
      <c r="B13" s="5" t="s">
        <v>64</v>
      </c>
      <c r="C13" s="6" t="s">
        <v>65</v>
      </c>
      <c r="D13" s="13" t="s">
        <v>227</v>
      </c>
      <c r="E13" s="9" t="s">
        <v>66</v>
      </c>
      <c r="F13" s="9" t="s">
        <v>67</v>
      </c>
      <c r="G13" s="10">
        <v>4.83</v>
      </c>
      <c r="H13" s="10">
        <v>4.33</v>
      </c>
      <c r="I13" s="10">
        <v>4.5</v>
      </c>
      <c r="J13" s="10">
        <v>4.5</v>
      </c>
      <c r="K13" s="10">
        <v>4.67</v>
      </c>
      <c r="L13" s="10">
        <v>4.33</v>
      </c>
      <c r="M13" s="10">
        <v>3.83</v>
      </c>
      <c r="N13" s="10">
        <v>4.33</v>
      </c>
      <c r="O13" s="10">
        <v>4.33</v>
      </c>
      <c r="P13" s="10">
        <v>4</v>
      </c>
      <c r="Q13" s="11">
        <f t="shared" si="3"/>
        <v>4.5266666666666664</v>
      </c>
      <c r="R13" s="11">
        <f t="shared" si="1"/>
        <v>4.1225000000000005</v>
      </c>
      <c r="S13" s="11">
        <f t="shared" si="2"/>
        <v>4.3649999999999993</v>
      </c>
    </row>
    <row r="14" spans="2:19">
      <c r="B14" s="5" t="s">
        <v>68</v>
      </c>
      <c r="C14" s="6" t="s">
        <v>69</v>
      </c>
      <c r="D14" s="15" t="s">
        <v>70</v>
      </c>
      <c r="E14" s="9" t="s">
        <v>71</v>
      </c>
      <c r="F14" s="9" t="s">
        <v>72</v>
      </c>
      <c r="G14" s="10">
        <v>4.83</v>
      </c>
      <c r="H14" s="10">
        <v>3.67</v>
      </c>
      <c r="I14" s="10">
        <v>4.83</v>
      </c>
      <c r="J14" s="10">
        <v>4.5</v>
      </c>
      <c r="K14" s="10">
        <v>4.67</v>
      </c>
      <c r="L14" s="10">
        <v>4</v>
      </c>
      <c r="M14" s="10">
        <v>4</v>
      </c>
      <c r="N14" s="10">
        <v>4.5</v>
      </c>
      <c r="O14" s="10">
        <v>4</v>
      </c>
      <c r="P14" s="10">
        <v>4.33</v>
      </c>
      <c r="Q14" s="11">
        <f t="shared" si="3"/>
        <v>4.416666666666667</v>
      </c>
      <c r="R14" s="11">
        <f t="shared" si="1"/>
        <v>4.2074999999999996</v>
      </c>
      <c r="S14" s="11">
        <f t="shared" si="2"/>
        <v>4.3330000000000002</v>
      </c>
    </row>
    <row r="15" spans="2:19">
      <c r="B15" s="5" t="s">
        <v>73</v>
      </c>
      <c r="C15" s="6" t="s">
        <v>74</v>
      </c>
      <c r="D15" s="15" t="s">
        <v>75</v>
      </c>
      <c r="E15" s="9" t="s">
        <v>76</v>
      </c>
      <c r="F15" s="9" t="s">
        <v>77</v>
      </c>
      <c r="G15" s="10">
        <v>4.83</v>
      </c>
      <c r="H15" s="10">
        <v>4.67</v>
      </c>
      <c r="I15" s="10">
        <v>4.17</v>
      </c>
      <c r="J15" s="10">
        <v>4.83</v>
      </c>
      <c r="K15" s="10">
        <v>4.5</v>
      </c>
      <c r="L15" s="10">
        <v>4</v>
      </c>
      <c r="M15" s="10">
        <v>4.5</v>
      </c>
      <c r="N15" s="10">
        <v>4.17</v>
      </c>
      <c r="O15" s="10">
        <v>4</v>
      </c>
      <c r="P15" s="10">
        <v>4.67</v>
      </c>
      <c r="Q15" s="11">
        <f t="shared" si="3"/>
        <v>4.5</v>
      </c>
      <c r="R15" s="11">
        <f t="shared" si="1"/>
        <v>4.335</v>
      </c>
      <c r="S15" s="11">
        <f t="shared" si="2"/>
        <v>4.4340000000000002</v>
      </c>
    </row>
    <row r="16" spans="2:19">
      <c r="B16" s="5" t="s">
        <v>78</v>
      </c>
      <c r="C16" s="6" t="s">
        <v>28</v>
      </c>
      <c r="D16" s="15" t="s">
        <v>79</v>
      </c>
      <c r="E16" s="9" t="s">
        <v>80</v>
      </c>
      <c r="F16" s="9" t="s">
        <v>81</v>
      </c>
      <c r="G16" s="10">
        <v>4.17</v>
      </c>
      <c r="H16" s="10">
        <v>4.67</v>
      </c>
      <c r="I16" s="10">
        <v>4.33</v>
      </c>
      <c r="J16" s="10">
        <v>4.67</v>
      </c>
      <c r="K16" s="10">
        <v>4</v>
      </c>
      <c r="L16" s="10">
        <v>4.17</v>
      </c>
      <c r="M16" s="10">
        <v>4.33</v>
      </c>
      <c r="N16" s="10">
        <v>4.5</v>
      </c>
      <c r="O16" s="10">
        <v>4.67</v>
      </c>
      <c r="P16" s="10">
        <v>4.67</v>
      </c>
      <c r="Q16" s="11">
        <f t="shared" si="3"/>
        <v>4.335</v>
      </c>
      <c r="R16" s="11">
        <f t="shared" si="1"/>
        <v>4.5425000000000004</v>
      </c>
      <c r="S16" s="11">
        <f t="shared" si="2"/>
        <v>4.4180000000000001</v>
      </c>
    </row>
    <row r="17" spans="2:19">
      <c r="B17" s="5" t="s">
        <v>82</v>
      </c>
      <c r="C17" s="6" t="s">
        <v>83</v>
      </c>
      <c r="D17" s="7" t="s">
        <v>228</v>
      </c>
      <c r="E17" s="9" t="s">
        <v>84</v>
      </c>
      <c r="F17" s="9" t="s">
        <v>85</v>
      </c>
      <c r="G17" s="10">
        <v>4.83</v>
      </c>
      <c r="H17" s="10">
        <v>4.67</v>
      </c>
      <c r="I17" s="10">
        <v>4</v>
      </c>
      <c r="J17" s="10">
        <v>4.67</v>
      </c>
      <c r="K17" s="10">
        <v>4.5</v>
      </c>
      <c r="L17" s="10">
        <v>4.67</v>
      </c>
      <c r="M17" s="10">
        <v>4.5</v>
      </c>
      <c r="N17" s="10">
        <v>4.5</v>
      </c>
      <c r="O17" s="10">
        <v>4.5</v>
      </c>
      <c r="P17" s="10">
        <v>4.5</v>
      </c>
      <c r="Q17" s="11">
        <f t="shared" si="3"/>
        <v>4.5566666666666675</v>
      </c>
      <c r="R17" s="11">
        <f t="shared" si="1"/>
        <v>4.5</v>
      </c>
      <c r="S17" s="11">
        <f t="shared" si="2"/>
        <v>4.5340000000000007</v>
      </c>
    </row>
    <row r="18" spans="2:19">
      <c r="B18" s="5" t="s">
        <v>86</v>
      </c>
      <c r="C18" s="6" t="s">
        <v>87</v>
      </c>
      <c r="D18" s="7" t="s">
        <v>229</v>
      </c>
      <c r="E18" s="9" t="s">
        <v>88</v>
      </c>
      <c r="F18" s="9" t="s">
        <v>89</v>
      </c>
      <c r="G18" s="10">
        <v>4</v>
      </c>
      <c r="H18" s="10">
        <v>3.83</v>
      </c>
      <c r="I18" s="10">
        <v>4.17</v>
      </c>
      <c r="J18" s="10">
        <v>4</v>
      </c>
      <c r="K18" s="10">
        <v>3.83</v>
      </c>
      <c r="L18" s="10">
        <v>4</v>
      </c>
      <c r="M18" s="10">
        <v>4.33</v>
      </c>
      <c r="N18" s="10">
        <v>4.17</v>
      </c>
      <c r="O18" s="10">
        <v>4.33</v>
      </c>
      <c r="P18" s="10">
        <v>4.33</v>
      </c>
      <c r="Q18" s="11">
        <f t="shared" si="3"/>
        <v>3.9716666666666662</v>
      </c>
      <c r="R18" s="11">
        <f t="shared" si="1"/>
        <v>4.29</v>
      </c>
      <c r="S18" s="11">
        <f t="shared" si="2"/>
        <v>4.0989999999999993</v>
      </c>
    </row>
    <row r="19" spans="2:19">
      <c r="B19" s="5" t="s">
        <v>90</v>
      </c>
      <c r="C19" s="6" t="s">
        <v>91</v>
      </c>
      <c r="D19" s="13" t="s">
        <v>230</v>
      </c>
      <c r="E19" s="9" t="s">
        <v>92</v>
      </c>
      <c r="F19" s="9" t="s">
        <v>93</v>
      </c>
      <c r="G19" s="10">
        <v>3.83</v>
      </c>
      <c r="H19" s="10">
        <v>3</v>
      </c>
      <c r="I19" s="10">
        <v>3.83</v>
      </c>
      <c r="J19" s="10">
        <v>4</v>
      </c>
      <c r="K19" s="10">
        <v>4.67</v>
      </c>
      <c r="L19" s="10">
        <v>4</v>
      </c>
      <c r="M19" s="10">
        <v>2.67</v>
      </c>
      <c r="N19" s="10">
        <v>3.5</v>
      </c>
      <c r="O19" s="10">
        <v>4.17</v>
      </c>
      <c r="P19" s="10">
        <v>3.5</v>
      </c>
      <c r="Q19" s="11">
        <f t="shared" si="3"/>
        <v>3.8883333333333332</v>
      </c>
      <c r="R19" s="11">
        <f t="shared" si="1"/>
        <v>3.46</v>
      </c>
      <c r="S19" s="11">
        <f t="shared" si="2"/>
        <v>3.7170000000000001</v>
      </c>
    </row>
    <row r="20" spans="2:19">
      <c r="B20" s="5" t="s">
        <v>94</v>
      </c>
      <c r="C20" s="6" t="s">
        <v>95</v>
      </c>
      <c r="D20" s="7" t="s">
        <v>231</v>
      </c>
      <c r="E20" s="9" t="s">
        <v>96</v>
      </c>
      <c r="F20" s="9" t="s">
        <v>97</v>
      </c>
      <c r="G20" s="10">
        <v>4.33</v>
      </c>
      <c r="H20" s="10">
        <v>4.33</v>
      </c>
      <c r="I20" s="10">
        <v>4.17</v>
      </c>
      <c r="J20" s="10">
        <v>4.83</v>
      </c>
      <c r="K20" s="10">
        <v>4</v>
      </c>
      <c r="L20" s="10">
        <v>4.17</v>
      </c>
      <c r="M20" s="10">
        <v>4.17</v>
      </c>
      <c r="N20" s="10">
        <v>3.83</v>
      </c>
      <c r="O20" s="10">
        <v>4.17</v>
      </c>
      <c r="P20" s="10">
        <v>4.17</v>
      </c>
      <c r="Q20" s="11">
        <f t="shared" si="3"/>
        <v>4.3049999999999997</v>
      </c>
      <c r="R20" s="11">
        <f t="shared" si="1"/>
        <v>4.085</v>
      </c>
      <c r="S20" s="11">
        <f t="shared" si="2"/>
        <v>4.2170000000000005</v>
      </c>
    </row>
    <row r="21" spans="2:19">
      <c r="B21" s="5" t="s">
        <v>98</v>
      </c>
      <c r="C21" s="6" t="s">
        <v>28</v>
      </c>
      <c r="D21" s="13" t="s">
        <v>232</v>
      </c>
      <c r="E21" s="9" t="s">
        <v>99</v>
      </c>
      <c r="F21" s="9" t="s">
        <v>100</v>
      </c>
      <c r="G21" s="10">
        <v>4.33</v>
      </c>
      <c r="H21" s="10">
        <v>4.17</v>
      </c>
      <c r="I21" s="10">
        <v>4.5</v>
      </c>
      <c r="J21" s="10">
        <v>4.17</v>
      </c>
      <c r="K21" s="10">
        <v>4.17</v>
      </c>
      <c r="L21" s="10">
        <v>4</v>
      </c>
      <c r="M21" s="10">
        <v>4.33</v>
      </c>
      <c r="N21" s="10">
        <v>4.5</v>
      </c>
      <c r="O21" s="10">
        <v>4.17</v>
      </c>
      <c r="P21" s="10">
        <v>4.33</v>
      </c>
      <c r="Q21" s="11">
        <f t="shared" si="3"/>
        <v>4.2233333333333336</v>
      </c>
      <c r="R21" s="11">
        <f t="shared" si="1"/>
        <v>4.3324999999999996</v>
      </c>
      <c r="S21" s="11">
        <f t="shared" si="2"/>
        <v>4.2670000000000003</v>
      </c>
    </row>
    <row r="22" spans="2:19">
      <c r="B22" s="5" t="s">
        <v>101</v>
      </c>
      <c r="C22" s="6" t="s">
        <v>102</v>
      </c>
      <c r="D22" s="7" t="s">
        <v>233</v>
      </c>
      <c r="E22" s="9" t="s">
        <v>103</v>
      </c>
      <c r="F22" s="9" t="s">
        <v>104</v>
      </c>
      <c r="G22" s="10">
        <v>4.67</v>
      </c>
      <c r="H22" s="10">
        <v>4.17</v>
      </c>
      <c r="I22" s="10">
        <v>4.17</v>
      </c>
      <c r="J22" s="10">
        <v>4.83</v>
      </c>
      <c r="K22" s="10">
        <v>4</v>
      </c>
      <c r="L22" s="10">
        <v>4.33</v>
      </c>
      <c r="M22" s="10">
        <v>4.5</v>
      </c>
      <c r="N22" s="10">
        <v>4.33</v>
      </c>
      <c r="O22" s="10">
        <v>4.5</v>
      </c>
      <c r="P22" s="10">
        <v>4.17</v>
      </c>
      <c r="Q22" s="11">
        <f t="shared" si="3"/>
        <v>4.3616666666666672</v>
      </c>
      <c r="R22" s="11">
        <f>(M22+N22+O21+P22)/4</f>
        <v>4.2925000000000004</v>
      </c>
      <c r="S22" s="11">
        <f t="shared" si="2"/>
        <v>4.367</v>
      </c>
    </row>
    <row r="23" spans="2:19">
      <c r="B23" s="5" t="s">
        <v>105</v>
      </c>
      <c r="C23" s="6" t="s">
        <v>28</v>
      </c>
      <c r="D23" s="13" t="s">
        <v>234</v>
      </c>
      <c r="E23" s="9" t="s">
        <v>106</v>
      </c>
      <c r="F23" s="9" t="s">
        <v>107</v>
      </c>
      <c r="G23" s="10">
        <v>4.67</v>
      </c>
      <c r="H23" s="10">
        <v>4.67</v>
      </c>
      <c r="I23" s="10">
        <v>4.83</v>
      </c>
      <c r="J23" s="10">
        <v>4.83</v>
      </c>
      <c r="K23" s="10">
        <v>4.33</v>
      </c>
      <c r="L23" s="10">
        <v>4.17</v>
      </c>
      <c r="M23" s="10">
        <v>4.5</v>
      </c>
      <c r="N23" s="10">
        <v>4.17</v>
      </c>
      <c r="O23" s="10">
        <v>4.5</v>
      </c>
      <c r="P23" s="10">
        <v>4.33</v>
      </c>
      <c r="Q23" s="11">
        <f t="shared" si="3"/>
        <v>4.583333333333333</v>
      </c>
      <c r="R23" s="11">
        <f t="shared" ref="R23:R50" si="4">(M23+N23+O23+P23)/4</f>
        <v>4.375</v>
      </c>
      <c r="S23" s="11">
        <f t="shared" si="2"/>
        <v>4.5</v>
      </c>
    </row>
    <row r="24" spans="2:19">
      <c r="B24" s="5" t="s">
        <v>108</v>
      </c>
      <c r="C24" s="6" t="s">
        <v>28</v>
      </c>
      <c r="D24" s="15" t="s">
        <v>109</v>
      </c>
      <c r="E24" s="9" t="s">
        <v>110</v>
      </c>
      <c r="F24" s="9" t="s">
        <v>111</v>
      </c>
      <c r="G24" s="10">
        <v>4.67</v>
      </c>
      <c r="H24" s="10">
        <v>4.17</v>
      </c>
      <c r="I24" s="10">
        <v>4.33</v>
      </c>
      <c r="J24" s="10">
        <v>4.5</v>
      </c>
      <c r="K24" s="10">
        <v>4.5</v>
      </c>
      <c r="L24" s="10">
        <v>4</v>
      </c>
      <c r="M24" s="10">
        <v>3.83</v>
      </c>
      <c r="N24" s="10">
        <v>3.83</v>
      </c>
      <c r="O24" s="10">
        <v>4.33</v>
      </c>
      <c r="P24" s="10">
        <v>3.67</v>
      </c>
      <c r="Q24" s="11">
        <f t="shared" si="3"/>
        <v>4.3616666666666672</v>
      </c>
      <c r="R24" s="11">
        <f t="shared" si="4"/>
        <v>3.915</v>
      </c>
      <c r="S24" s="11">
        <f t="shared" si="2"/>
        <v>4.1829999999999998</v>
      </c>
    </row>
    <row r="25" spans="2:19">
      <c r="B25" s="5" t="s">
        <v>112</v>
      </c>
      <c r="C25" s="6" t="s">
        <v>113</v>
      </c>
      <c r="D25" s="13" t="s">
        <v>235</v>
      </c>
      <c r="E25" s="9" t="s">
        <v>114</v>
      </c>
      <c r="F25" s="9" t="s">
        <v>115</v>
      </c>
      <c r="G25" s="10">
        <v>4.5</v>
      </c>
      <c r="H25" s="10">
        <v>4.5</v>
      </c>
      <c r="I25" s="10">
        <v>4.5</v>
      </c>
      <c r="J25" s="10">
        <v>4.67</v>
      </c>
      <c r="K25" s="10">
        <v>4.5</v>
      </c>
      <c r="L25" s="10">
        <v>4.5</v>
      </c>
      <c r="M25" s="10">
        <v>4.67</v>
      </c>
      <c r="N25" s="10">
        <v>4.67</v>
      </c>
      <c r="O25" s="10">
        <v>4.33</v>
      </c>
      <c r="P25" s="10">
        <v>4.5</v>
      </c>
      <c r="Q25" s="11">
        <f t="shared" si="3"/>
        <v>4.5283333333333333</v>
      </c>
      <c r="R25" s="11">
        <f t="shared" si="4"/>
        <v>4.5425000000000004</v>
      </c>
      <c r="S25" s="11">
        <f t="shared" si="2"/>
        <v>4.5340000000000007</v>
      </c>
    </row>
    <row r="26" spans="2:19">
      <c r="B26" s="5" t="s">
        <v>116</v>
      </c>
      <c r="C26" s="6" t="s">
        <v>117</v>
      </c>
      <c r="D26" s="15" t="s">
        <v>118</v>
      </c>
      <c r="E26" s="9" t="s">
        <v>119</v>
      </c>
      <c r="F26" s="9" t="s">
        <v>120</v>
      </c>
      <c r="G26" s="10">
        <v>4</v>
      </c>
      <c r="H26" s="10">
        <v>3.5</v>
      </c>
      <c r="I26" s="10">
        <v>3.83</v>
      </c>
      <c r="J26" s="10">
        <v>3.83</v>
      </c>
      <c r="K26" s="10">
        <v>3.5</v>
      </c>
      <c r="L26" s="10">
        <v>3.83</v>
      </c>
      <c r="M26" s="10">
        <v>3.83</v>
      </c>
      <c r="N26" s="10">
        <v>3.83</v>
      </c>
      <c r="O26" s="10">
        <v>4.17</v>
      </c>
      <c r="P26" s="10">
        <v>3.83</v>
      </c>
      <c r="Q26" s="11">
        <f t="shared" si="3"/>
        <v>3.7483333333333335</v>
      </c>
      <c r="R26" s="11">
        <f t="shared" si="4"/>
        <v>3.915</v>
      </c>
      <c r="S26" s="11">
        <f t="shared" si="2"/>
        <v>3.8149999999999999</v>
      </c>
    </row>
    <row r="27" spans="2:19">
      <c r="B27" s="5" t="s">
        <v>121</v>
      </c>
      <c r="C27" s="6" t="s">
        <v>122</v>
      </c>
      <c r="D27" s="17" t="s">
        <v>123</v>
      </c>
      <c r="E27" s="9" t="s">
        <v>124</v>
      </c>
      <c r="F27" s="9" t="s">
        <v>125</v>
      </c>
      <c r="G27" s="10">
        <v>4.5</v>
      </c>
      <c r="H27" s="10">
        <v>4.33</v>
      </c>
      <c r="I27" s="10">
        <v>4.33</v>
      </c>
      <c r="J27" s="10">
        <v>4.5</v>
      </c>
      <c r="K27" s="10">
        <v>4.5</v>
      </c>
      <c r="L27" s="10">
        <v>4.5</v>
      </c>
      <c r="M27" s="10">
        <v>4</v>
      </c>
      <c r="N27" s="10">
        <v>4</v>
      </c>
      <c r="O27" s="10">
        <v>4.17</v>
      </c>
      <c r="P27" s="10">
        <v>3.83</v>
      </c>
      <c r="Q27" s="11">
        <f t="shared" si="3"/>
        <v>4.4433333333333334</v>
      </c>
      <c r="R27" s="11">
        <f t="shared" si="4"/>
        <v>4</v>
      </c>
      <c r="S27" s="11">
        <f t="shared" si="2"/>
        <v>4.266</v>
      </c>
    </row>
    <row r="28" spans="2:19">
      <c r="B28" s="5" t="s">
        <v>126</v>
      </c>
      <c r="C28" s="6" t="s">
        <v>127</v>
      </c>
      <c r="D28" s="7" t="s">
        <v>236</v>
      </c>
      <c r="E28" s="9" t="s">
        <v>128</v>
      </c>
      <c r="F28" s="9" t="s">
        <v>129</v>
      </c>
      <c r="G28" s="10">
        <v>5</v>
      </c>
      <c r="H28" s="10">
        <v>4.5</v>
      </c>
      <c r="I28" s="10">
        <v>4.83</v>
      </c>
      <c r="J28" s="10">
        <v>4.67</v>
      </c>
      <c r="K28" s="10">
        <v>5</v>
      </c>
      <c r="L28" s="10">
        <v>4.5</v>
      </c>
      <c r="M28" s="10">
        <v>3.83</v>
      </c>
      <c r="N28" s="10">
        <v>4.17</v>
      </c>
      <c r="O28" s="10">
        <v>4.5</v>
      </c>
      <c r="P28" s="10">
        <v>4.17</v>
      </c>
      <c r="Q28" s="11">
        <f t="shared" si="3"/>
        <v>4.75</v>
      </c>
      <c r="R28" s="11">
        <f t="shared" si="4"/>
        <v>4.1675000000000004</v>
      </c>
      <c r="S28" s="11">
        <f t="shared" si="2"/>
        <v>4.5170000000000003</v>
      </c>
    </row>
    <row r="29" spans="2:19">
      <c r="B29" s="5" t="s">
        <v>130</v>
      </c>
      <c r="C29" s="6" t="s">
        <v>131</v>
      </c>
      <c r="D29" s="13" t="s">
        <v>237</v>
      </c>
      <c r="E29" s="9" t="s">
        <v>132</v>
      </c>
      <c r="F29" s="9" t="s">
        <v>133</v>
      </c>
      <c r="G29" s="10">
        <v>4.83</v>
      </c>
      <c r="H29" s="10">
        <v>4.5</v>
      </c>
      <c r="I29" s="10">
        <v>4.67</v>
      </c>
      <c r="J29" s="10">
        <v>3.67</v>
      </c>
      <c r="K29" s="10">
        <v>3.83</v>
      </c>
      <c r="L29" s="10">
        <v>4.33</v>
      </c>
      <c r="M29" s="10">
        <v>4.67</v>
      </c>
      <c r="N29" s="10">
        <v>4.33</v>
      </c>
      <c r="O29" s="10">
        <v>4.33</v>
      </c>
      <c r="P29" s="10">
        <v>4.17</v>
      </c>
      <c r="Q29" s="11">
        <f t="shared" si="3"/>
        <v>4.3049999999999997</v>
      </c>
      <c r="R29" s="11">
        <f t="shared" si="4"/>
        <v>4.375</v>
      </c>
      <c r="S29" s="11">
        <f t="shared" si="2"/>
        <v>4.3330000000000002</v>
      </c>
    </row>
    <row r="30" spans="2:19">
      <c r="B30" s="5" t="s">
        <v>134</v>
      </c>
      <c r="C30" s="6" t="s">
        <v>135</v>
      </c>
      <c r="D30" s="7" t="s">
        <v>238</v>
      </c>
      <c r="E30" s="9" t="s">
        <v>136</v>
      </c>
      <c r="F30" s="9" t="s">
        <v>137</v>
      </c>
      <c r="G30" s="10">
        <v>4.33</v>
      </c>
      <c r="H30" s="10">
        <v>3.33</v>
      </c>
      <c r="I30" s="10">
        <v>4.17</v>
      </c>
      <c r="J30" s="10">
        <v>4</v>
      </c>
      <c r="K30" s="10">
        <v>4.33</v>
      </c>
      <c r="L30" s="10">
        <v>4.17</v>
      </c>
      <c r="M30" s="10">
        <v>4</v>
      </c>
      <c r="N30" s="10">
        <v>4.33</v>
      </c>
      <c r="O30" s="10">
        <v>4.33</v>
      </c>
      <c r="P30" s="10">
        <v>4.17</v>
      </c>
      <c r="Q30" s="11">
        <f t="shared" si="3"/>
        <v>4.0549999999999997</v>
      </c>
      <c r="R30" s="11">
        <f t="shared" si="4"/>
        <v>4.2074999999999996</v>
      </c>
      <c r="S30" s="11">
        <f t="shared" si="2"/>
        <v>4.1159999999999997</v>
      </c>
    </row>
    <row r="31" spans="2:19">
      <c r="B31" s="5" t="s">
        <v>138</v>
      </c>
      <c r="C31" s="6" t="s">
        <v>28</v>
      </c>
      <c r="D31" s="13" t="s">
        <v>239</v>
      </c>
      <c r="E31" s="9" t="s">
        <v>139</v>
      </c>
      <c r="F31" s="9" t="s">
        <v>140</v>
      </c>
      <c r="G31" s="10">
        <v>4.67</v>
      </c>
      <c r="H31" s="10">
        <v>4.5</v>
      </c>
      <c r="I31" s="10">
        <v>4.67</v>
      </c>
      <c r="J31" s="10">
        <v>4.33</v>
      </c>
      <c r="K31" s="10">
        <v>4</v>
      </c>
      <c r="L31" s="10">
        <v>4.67</v>
      </c>
      <c r="M31" s="10">
        <v>3.33</v>
      </c>
      <c r="N31" s="10">
        <v>3.83</v>
      </c>
      <c r="O31" s="10">
        <v>4.17</v>
      </c>
      <c r="P31" s="10">
        <v>3.33</v>
      </c>
      <c r="Q31" s="11">
        <f t="shared" si="3"/>
        <v>4.4733333333333336</v>
      </c>
      <c r="R31" s="11">
        <f t="shared" si="4"/>
        <v>3.665</v>
      </c>
      <c r="S31" s="11">
        <f t="shared" si="2"/>
        <v>4.1500000000000004</v>
      </c>
    </row>
    <row r="32" spans="2:19">
      <c r="B32" s="5" t="s">
        <v>141</v>
      </c>
      <c r="C32" s="6" t="s">
        <v>28</v>
      </c>
      <c r="D32" s="15" t="s">
        <v>142</v>
      </c>
      <c r="E32" s="9" t="s">
        <v>143</v>
      </c>
      <c r="F32" s="9" t="s">
        <v>144</v>
      </c>
      <c r="G32" s="10">
        <v>4.5</v>
      </c>
      <c r="H32" s="10">
        <v>4.5</v>
      </c>
      <c r="I32" s="10">
        <v>4.5</v>
      </c>
      <c r="J32" s="10">
        <v>4.67</v>
      </c>
      <c r="K32" s="10">
        <v>4.17</v>
      </c>
      <c r="L32" s="10">
        <v>4.5</v>
      </c>
      <c r="M32" s="10">
        <v>4.3</v>
      </c>
      <c r="N32" s="10">
        <v>4.3</v>
      </c>
      <c r="O32" s="10">
        <v>4.67</v>
      </c>
      <c r="P32" s="10">
        <v>4.33</v>
      </c>
      <c r="Q32" s="11">
        <f t="shared" si="3"/>
        <v>4.4733333333333336</v>
      </c>
      <c r="R32" s="11">
        <f t="shared" si="4"/>
        <v>4.4000000000000004</v>
      </c>
      <c r="S32" s="11">
        <f t="shared" si="2"/>
        <v>4.4440000000000008</v>
      </c>
    </row>
    <row r="33" spans="2:19">
      <c r="B33" s="5" t="s">
        <v>145</v>
      </c>
      <c r="C33" s="6" t="s">
        <v>28</v>
      </c>
      <c r="D33" s="15" t="s">
        <v>146</v>
      </c>
      <c r="E33" s="9" t="s">
        <v>147</v>
      </c>
      <c r="F33" s="9" t="s">
        <v>148</v>
      </c>
      <c r="G33" s="10">
        <v>5</v>
      </c>
      <c r="H33" s="10">
        <v>4.67</v>
      </c>
      <c r="I33" s="10">
        <v>4.5</v>
      </c>
      <c r="J33" s="10">
        <v>4.67</v>
      </c>
      <c r="K33" s="10">
        <v>4.83</v>
      </c>
      <c r="L33" s="10">
        <v>4.67</v>
      </c>
      <c r="M33" s="10">
        <v>4.17</v>
      </c>
      <c r="N33" s="10">
        <v>4.83</v>
      </c>
      <c r="O33" s="10">
        <v>4.5</v>
      </c>
      <c r="P33" s="10">
        <v>4.33</v>
      </c>
      <c r="Q33" s="11">
        <f t="shared" si="3"/>
        <v>4.7233333333333336</v>
      </c>
      <c r="R33" s="11">
        <f t="shared" si="4"/>
        <v>4.4574999999999996</v>
      </c>
      <c r="S33" s="11">
        <f t="shared" si="2"/>
        <v>4.617</v>
      </c>
    </row>
    <row r="34" spans="2:19">
      <c r="B34" s="5" t="s">
        <v>149</v>
      </c>
      <c r="C34" s="6" t="s">
        <v>28</v>
      </c>
      <c r="D34" s="15" t="s">
        <v>150</v>
      </c>
      <c r="E34" s="9" t="s">
        <v>151</v>
      </c>
      <c r="F34" s="9" t="s">
        <v>152</v>
      </c>
      <c r="G34" s="10">
        <v>4.67</v>
      </c>
      <c r="H34" s="10">
        <v>4.67</v>
      </c>
      <c r="I34" s="10">
        <v>4.83</v>
      </c>
      <c r="J34" s="10">
        <v>4.5</v>
      </c>
      <c r="K34" s="10">
        <v>4.67</v>
      </c>
      <c r="L34" s="10">
        <v>4.83</v>
      </c>
      <c r="M34" s="10">
        <v>4.67</v>
      </c>
      <c r="N34" s="10">
        <v>4.33</v>
      </c>
      <c r="O34" s="10">
        <v>4.67</v>
      </c>
      <c r="P34" s="10">
        <v>4.83</v>
      </c>
      <c r="Q34" s="11">
        <f t="shared" si="3"/>
        <v>4.6950000000000003</v>
      </c>
      <c r="R34" s="11">
        <f t="shared" si="4"/>
        <v>4.625</v>
      </c>
      <c r="S34" s="11">
        <f t="shared" si="2"/>
        <v>4.6669999999999998</v>
      </c>
    </row>
    <row r="35" spans="2:19">
      <c r="B35" s="5" t="s">
        <v>153</v>
      </c>
      <c r="C35" s="6" t="s">
        <v>154</v>
      </c>
      <c r="D35" s="13" t="s">
        <v>240</v>
      </c>
      <c r="E35" s="9" t="s">
        <v>155</v>
      </c>
      <c r="F35" s="9" t="s">
        <v>156</v>
      </c>
      <c r="G35" s="10">
        <v>4.67</v>
      </c>
      <c r="H35" s="10">
        <v>3.17</v>
      </c>
      <c r="I35" s="10">
        <v>4</v>
      </c>
      <c r="J35" s="10">
        <v>3.33</v>
      </c>
      <c r="K35" s="10">
        <v>4.17</v>
      </c>
      <c r="L35" s="10">
        <v>4</v>
      </c>
      <c r="M35" s="10">
        <v>3.5</v>
      </c>
      <c r="N35" s="10">
        <v>3.83</v>
      </c>
      <c r="O35" s="10">
        <v>3.83</v>
      </c>
      <c r="P35" s="10">
        <v>3.5</v>
      </c>
      <c r="Q35" s="11">
        <f t="shared" si="3"/>
        <v>3.89</v>
      </c>
      <c r="R35" s="11">
        <f t="shared" si="4"/>
        <v>3.665</v>
      </c>
      <c r="S35" s="11">
        <f t="shared" si="2"/>
        <v>3.8</v>
      </c>
    </row>
    <row r="36" spans="2:19">
      <c r="B36" s="5" t="s">
        <v>157</v>
      </c>
      <c r="C36" s="6" t="s">
        <v>28</v>
      </c>
      <c r="D36" s="15" t="s">
        <v>158</v>
      </c>
      <c r="E36" s="9" t="s">
        <v>159</v>
      </c>
      <c r="F36" s="9" t="s">
        <v>160</v>
      </c>
      <c r="G36" s="10">
        <v>4.5</v>
      </c>
      <c r="H36" s="10">
        <v>4.1669999999999998</v>
      </c>
      <c r="I36" s="10">
        <v>4.5</v>
      </c>
      <c r="J36" s="10">
        <v>4.33</v>
      </c>
      <c r="K36" s="10">
        <v>4.5</v>
      </c>
      <c r="L36" s="10">
        <v>4.33</v>
      </c>
      <c r="M36" s="10">
        <v>4.33</v>
      </c>
      <c r="N36" s="10">
        <v>4.33</v>
      </c>
      <c r="O36" s="10">
        <v>4.33</v>
      </c>
      <c r="P36" s="10">
        <v>4.17</v>
      </c>
      <c r="Q36" s="11">
        <f t="shared" si="3"/>
        <v>4.387833333333333</v>
      </c>
      <c r="R36" s="11">
        <f t="shared" si="4"/>
        <v>4.29</v>
      </c>
      <c r="S36" s="11">
        <f t="shared" si="2"/>
        <v>4.3486999999999991</v>
      </c>
    </row>
    <row r="37" spans="2:19">
      <c r="B37" s="5" t="s">
        <v>161</v>
      </c>
      <c r="C37" s="6" t="s">
        <v>28</v>
      </c>
      <c r="D37" s="13" t="s">
        <v>241</v>
      </c>
      <c r="E37" s="9" t="s">
        <v>162</v>
      </c>
      <c r="F37" s="9" t="s">
        <v>163</v>
      </c>
      <c r="G37" s="10">
        <v>5</v>
      </c>
      <c r="H37" s="10">
        <v>4.67</v>
      </c>
      <c r="I37" s="10">
        <v>4.67</v>
      </c>
      <c r="J37" s="10">
        <v>4.83</v>
      </c>
      <c r="K37" s="10">
        <v>4.67</v>
      </c>
      <c r="L37" s="10">
        <v>4.67</v>
      </c>
      <c r="M37" s="10">
        <v>5</v>
      </c>
      <c r="N37" s="10">
        <v>4.5</v>
      </c>
      <c r="O37" s="10">
        <v>5</v>
      </c>
      <c r="P37" s="10">
        <v>4.67</v>
      </c>
      <c r="Q37" s="11">
        <f t="shared" si="3"/>
        <v>4.7516666666666678</v>
      </c>
      <c r="R37" s="11">
        <f t="shared" si="4"/>
        <v>4.7925000000000004</v>
      </c>
      <c r="S37" s="11">
        <f t="shared" si="2"/>
        <v>4.7680000000000007</v>
      </c>
    </row>
    <row r="38" spans="2:19">
      <c r="B38" s="5" t="s">
        <v>164</v>
      </c>
      <c r="C38" s="6" t="s">
        <v>165</v>
      </c>
      <c r="D38" s="7" t="s">
        <v>242</v>
      </c>
      <c r="E38" s="9" t="s">
        <v>166</v>
      </c>
      <c r="F38" s="9" t="s">
        <v>167</v>
      </c>
      <c r="G38" s="10">
        <v>4.33</v>
      </c>
      <c r="H38" s="10">
        <v>4.17</v>
      </c>
      <c r="I38" s="10">
        <v>4.17</v>
      </c>
      <c r="J38" s="10">
        <v>3.67</v>
      </c>
      <c r="K38" s="10">
        <v>4.17</v>
      </c>
      <c r="L38" s="10">
        <v>3.83</v>
      </c>
      <c r="M38" s="10">
        <v>4.17</v>
      </c>
      <c r="N38" s="10">
        <v>4.5</v>
      </c>
      <c r="O38" s="10">
        <v>4.33</v>
      </c>
      <c r="P38" s="10">
        <v>4.33</v>
      </c>
      <c r="Q38" s="11">
        <f t="shared" si="3"/>
        <v>4.0566666666666658</v>
      </c>
      <c r="R38" s="11">
        <f t="shared" si="4"/>
        <v>4.3324999999999996</v>
      </c>
      <c r="S38" s="11">
        <f t="shared" si="2"/>
        <v>4.1669999999999998</v>
      </c>
    </row>
    <row r="39" spans="2:19">
      <c r="B39" s="5" t="s">
        <v>168</v>
      </c>
      <c r="C39" s="6" t="s">
        <v>169</v>
      </c>
      <c r="D39" s="15" t="s">
        <v>170</v>
      </c>
      <c r="E39" s="9" t="s">
        <v>171</v>
      </c>
      <c r="F39" s="9" t="s">
        <v>172</v>
      </c>
      <c r="G39" s="10">
        <v>4.67</v>
      </c>
      <c r="H39" s="10">
        <v>4.17</v>
      </c>
      <c r="I39" s="10">
        <v>4.17</v>
      </c>
      <c r="J39" s="10">
        <v>4</v>
      </c>
      <c r="K39" s="10">
        <v>4.33</v>
      </c>
      <c r="L39" s="10">
        <v>4</v>
      </c>
      <c r="M39" s="10">
        <v>3.5</v>
      </c>
      <c r="N39" s="10">
        <v>4</v>
      </c>
      <c r="O39" s="10">
        <v>4.17</v>
      </c>
      <c r="P39" s="10">
        <v>3</v>
      </c>
      <c r="Q39" s="11">
        <f t="shared" si="3"/>
        <v>4.2233333333333327</v>
      </c>
      <c r="R39" s="11">
        <f t="shared" si="4"/>
        <v>3.6675</v>
      </c>
      <c r="S39" s="11">
        <f t="shared" si="2"/>
        <v>4.0009999999999994</v>
      </c>
    </row>
    <row r="40" spans="2:19">
      <c r="B40" s="5" t="s">
        <v>173</v>
      </c>
      <c r="C40" s="6" t="s">
        <v>28</v>
      </c>
      <c r="D40" s="13" t="s">
        <v>243</v>
      </c>
      <c r="E40" s="9" t="s">
        <v>174</v>
      </c>
      <c r="F40" s="9" t="s">
        <v>175</v>
      </c>
      <c r="G40" s="10">
        <v>4.5</v>
      </c>
      <c r="H40" s="10">
        <v>4.33</v>
      </c>
      <c r="I40" s="10">
        <v>4.17</v>
      </c>
      <c r="J40" s="10">
        <v>4.5</v>
      </c>
      <c r="K40" s="10">
        <v>3.67</v>
      </c>
      <c r="L40" s="10">
        <v>3.83</v>
      </c>
      <c r="M40" s="10">
        <v>4.67</v>
      </c>
      <c r="N40" s="10">
        <v>4.17</v>
      </c>
      <c r="O40" s="10">
        <v>4.5</v>
      </c>
      <c r="P40" s="10">
        <v>4.5</v>
      </c>
      <c r="Q40" s="11">
        <f t="shared" si="3"/>
        <v>4.166666666666667</v>
      </c>
      <c r="R40" s="11">
        <f t="shared" si="4"/>
        <v>4.46</v>
      </c>
      <c r="S40" s="11">
        <f t="shared" si="2"/>
        <v>4.2840000000000007</v>
      </c>
    </row>
    <row r="41" spans="2:19">
      <c r="B41" s="5" t="s">
        <v>176</v>
      </c>
      <c r="C41" s="6" t="s">
        <v>177</v>
      </c>
      <c r="D41" s="15" t="s">
        <v>178</v>
      </c>
      <c r="E41" s="9" t="s">
        <v>179</v>
      </c>
      <c r="F41" s="9" t="s">
        <v>180</v>
      </c>
      <c r="G41" s="10">
        <v>4.67</v>
      </c>
      <c r="H41" s="10">
        <v>3.67</v>
      </c>
      <c r="I41" s="10">
        <v>3.67</v>
      </c>
      <c r="J41" s="10">
        <v>4</v>
      </c>
      <c r="K41" s="10">
        <v>4.33</v>
      </c>
      <c r="L41" s="10">
        <v>4.17</v>
      </c>
      <c r="M41" s="10">
        <v>4.67</v>
      </c>
      <c r="N41" s="10">
        <v>4.33</v>
      </c>
      <c r="O41" s="10">
        <v>4.17</v>
      </c>
      <c r="P41" s="10">
        <v>4.5</v>
      </c>
      <c r="Q41" s="11">
        <f t="shared" si="3"/>
        <v>4.085</v>
      </c>
      <c r="R41" s="11">
        <f t="shared" si="4"/>
        <v>4.4175000000000004</v>
      </c>
      <c r="S41" s="11">
        <f t="shared" si="2"/>
        <v>4.218</v>
      </c>
    </row>
    <row r="42" spans="2:19">
      <c r="B42" s="5" t="s">
        <v>181</v>
      </c>
      <c r="C42" s="6" t="s">
        <v>28</v>
      </c>
      <c r="D42" s="15" t="s">
        <v>182</v>
      </c>
      <c r="E42" s="9" t="s">
        <v>183</v>
      </c>
      <c r="F42" s="9" t="s">
        <v>184</v>
      </c>
      <c r="G42" s="10">
        <v>4.5</v>
      </c>
      <c r="H42" s="10">
        <v>4.17</v>
      </c>
      <c r="I42" s="10">
        <v>4.17</v>
      </c>
      <c r="J42" s="10">
        <v>4.17</v>
      </c>
      <c r="K42" s="10">
        <v>4.17</v>
      </c>
      <c r="L42" s="10">
        <v>4.33</v>
      </c>
      <c r="M42" s="10">
        <v>4</v>
      </c>
      <c r="N42" s="10">
        <v>4</v>
      </c>
      <c r="O42" s="10">
        <v>4.33</v>
      </c>
      <c r="P42" s="10">
        <v>4.17</v>
      </c>
      <c r="Q42" s="11">
        <f t="shared" si="3"/>
        <v>4.251666666666666</v>
      </c>
      <c r="R42" s="11">
        <f t="shared" si="4"/>
        <v>4.125</v>
      </c>
      <c r="S42" s="11">
        <f t="shared" si="2"/>
        <v>4.2009999999999996</v>
      </c>
    </row>
    <row r="43" spans="2:19">
      <c r="B43" s="5" t="s">
        <v>185</v>
      </c>
      <c r="C43" s="6" t="s">
        <v>186</v>
      </c>
      <c r="D43" s="15" t="s">
        <v>187</v>
      </c>
      <c r="E43" s="9" t="s">
        <v>188</v>
      </c>
      <c r="F43" s="9" t="s">
        <v>189</v>
      </c>
      <c r="G43" s="10">
        <v>4</v>
      </c>
      <c r="H43" s="10">
        <v>4</v>
      </c>
      <c r="I43" s="10">
        <v>4.33</v>
      </c>
      <c r="J43" s="10">
        <v>4.17</v>
      </c>
      <c r="K43" s="10">
        <v>4.17</v>
      </c>
      <c r="L43" s="10">
        <v>4.33</v>
      </c>
      <c r="M43" s="10">
        <v>4.17</v>
      </c>
      <c r="N43" s="10">
        <v>4.17</v>
      </c>
      <c r="O43" s="10">
        <v>4.17</v>
      </c>
      <c r="P43" s="10">
        <v>4.17</v>
      </c>
      <c r="Q43" s="11">
        <f t="shared" si="3"/>
        <v>4.166666666666667</v>
      </c>
      <c r="R43" s="11">
        <f t="shared" si="4"/>
        <v>4.17</v>
      </c>
      <c r="S43" s="11">
        <f t="shared" si="2"/>
        <v>4.168000000000001</v>
      </c>
    </row>
    <row r="44" spans="2:19">
      <c r="B44" s="5" t="s">
        <v>190</v>
      </c>
      <c r="C44" s="6" t="s">
        <v>191</v>
      </c>
      <c r="D44" s="15" t="s">
        <v>192</v>
      </c>
      <c r="E44" s="9" t="s">
        <v>193</v>
      </c>
      <c r="F44" s="9" t="s">
        <v>194</v>
      </c>
      <c r="G44" s="10">
        <v>4.33</v>
      </c>
      <c r="H44" s="10">
        <v>4</v>
      </c>
      <c r="I44" s="10">
        <v>3.5</v>
      </c>
      <c r="J44" s="10">
        <v>4.5</v>
      </c>
      <c r="K44" s="10">
        <v>3.83</v>
      </c>
      <c r="L44" s="10">
        <v>3.83</v>
      </c>
      <c r="M44" s="10">
        <v>4</v>
      </c>
      <c r="N44" s="10">
        <v>3.83</v>
      </c>
      <c r="O44" s="10">
        <v>4.17</v>
      </c>
      <c r="P44" s="10">
        <v>4.17</v>
      </c>
      <c r="Q44" s="11">
        <f t="shared" si="3"/>
        <v>3.9983333333333326</v>
      </c>
      <c r="R44" s="11">
        <f t="shared" si="4"/>
        <v>4.0425000000000004</v>
      </c>
      <c r="S44" s="11">
        <f t="shared" si="2"/>
        <v>4.016</v>
      </c>
    </row>
    <row r="45" spans="2:19">
      <c r="B45" s="5" t="s">
        <v>195</v>
      </c>
      <c r="C45" s="6" t="s">
        <v>28</v>
      </c>
      <c r="D45" s="15" t="s">
        <v>196</v>
      </c>
      <c r="E45" s="9" t="s">
        <v>197</v>
      </c>
      <c r="F45" s="9" t="s">
        <v>198</v>
      </c>
      <c r="G45" s="10">
        <v>4.83</v>
      </c>
      <c r="H45" s="10">
        <v>4.83</v>
      </c>
      <c r="I45" s="10">
        <v>4.67</v>
      </c>
      <c r="J45" s="10">
        <v>4.5</v>
      </c>
      <c r="K45" s="10">
        <v>4.5</v>
      </c>
      <c r="L45" s="10">
        <v>4.5</v>
      </c>
      <c r="M45" s="10">
        <v>4.5</v>
      </c>
      <c r="N45" s="10">
        <v>4.5</v>
      </c>
      <c r="O45" s="10">
        <v>4.17</v>
      </c>
      <c r="P45" s="10">
        <v>4.33</v>
      </c>
      <c r="Q45" s="11">
        <f t="shared" si="3"/>
        <v>4.6383333333333328</v>
      </c>
      <c r="R45" s="11">
        <f t="shared" si="4"/>
        <v>4.375</v>
      </c>
      <c r="S45" s="11">
        <f t="shared" si="2"/>
        <v>4.5329999999999995</v>
      </c>
    </row>
    <row r="46" spans="2:19">
      <c r="B46" s="5" t="s">
        <v>199</v>
      </c>
      <c r="C46" s="6" t="s">
        <v>28</v>
      </c>
      <c r="D46" s="15" t="s">
        <v>200</v>
      </c>
      <c r="E46" s="9" t="s">
        <v>201</v>
      </c>
      <c r="F46" s="9" t="s">
        <v>202</v>
      </c>
      <c r="G46" s="10">
        <v>4</v>
      </c>
      <c r="H46" s="10">
        <v>3.83</v>
      </c>
      <c r="I46" s="10">
        <v>4.5</v>
      </c>
      <c r="J46" s="10">
        <v>4.5</v>
      </c>
      <c r="K46" s="10">
        <v>4.5</v>
      </c>
      <c r="L46" s="10">
        <v>4.17</v>
      </c>
      <c r="M46" s="10">
        <v>4.17</v>
      </c>
      <c r="N46" s="10">
        <v>4.17</v>
      </c>
      <c r="O46" s="10">
        <v>4</v>
      </c>
      <c r="P46" s="10">
        <v>4.33</v>
      </c>
      <c r="Q46" s="11">
        <f t="shared" si="3"/>
        <v>4.25</v>
      </c>
      <c r="R46" s="11">
        <f t="shared" si="4"/>
        <v>4.1675000000000004</v>
      </c>
      <c r="S46" s="11">
        <f t="shared" si="2"/>
        <v>4.2170000000000005</v>
      </c>
    </row>
    <row r="47" spans="2:19">
      <c r="B47" s="5" t="s">
        <v>203</v>
      </c>
      <c r="C47" s="6" t="s">
        <v>204</v>
      </c>
      <c r="D47" s="15" t="s">
        <v>205</v>
      </c>
      <c r="E47" s="9" t="s">
        <v>206</v>
      </c>
      <c r="F47" s="9" t="s">
        <v>207</v>
      </c>
      <c r="G47" s="10">
        <v>4.5</v>
      </c>
      <c r="H47" s="10">
        <v>4.17</v>
      </c>
      <c r="I47" s="10">
        <v>4.17</v>
      </c>
      <c r="J47" s="10">
        <v>4.17</v>
      </c>
      <c r="K47" s="10">
        <v>4</v>
      </c>
      <c r="L47" s="10">
        <v>4.33</v>
      </c>
      <c r="M47" s="10">
        <v>4.33</v>
      </c>
      <c r="N47" s="10">
        <v>4.17</v>
      </c>
      <c r="O47" s="10">
        <v>4.5</v>
      </c>
      <c r="P47" s="10">
        <v>4.33</v>
      </c>
      <c r="Q47" s="11">
        <f t="shared" si="3"/>
        <v>4.2233333333333327</v>
      </c>
      <c r="R47" s="11">
        <f t="shared" si="4"/>
        <v>4.3324999999999996</v>
      </c>
      <c r="S47" s="11">
        <f t="shared" si="2"/>
        <v>4.2669999999999995</v>
      </c>
    </row>
    <row r="48" spans="2:19">
      <c r="B48" s="5" t="s">
        <v>208</v>
      </c>
      <c r="C48" s="6" t="s">
        <v>28</v>
      </c>
      <c r="D48" s="15" t="s">
        <v>209</v>
      </c>
      <c r="E48" s="9" t="s">
        <v>210</v>
      </c>
      <c r="F48" s="9" t="s">
        <v>211</v>
      </c>
      <c r="G48" s="10">
        <v>4.33</v>
      </c>
      <c r="H48" s="10">
        <v>4.33</v>
      </c>
      <c r="I48" s="10">
        <v>4.5</v>
      </c>
      <c r="J48" s="10">
        <v>4.5</v>
      </c>
      <c r="K48" s="10">
        <v>4</v>
      </c>
      <c r="L48" s="10">
        <v>4.33</v>
      </c>
      <c r="M48" s="10">
        <v>4.33</v>
      </c>
      <c r="N48" s="10">
        <v>4.17</v>
      </c>
      <c r="O48" s="10">
        <v>4.5</v>
      </c>
      <c r="P48" s="10">
        <v>4.33</v>
      </c>
      <c r="Q48" s="11">
        <f t="shared" si="3"/>
        <v>4.331666666666667</v>
      </c>
      <c r="R48" s="11">
        <f t="shared" si="4"/>
        <v>4.3324999999999996</v>
      </c>
      <c r="S48" s="11">
        <f t="shared" si="2"/>
        <v>4.3319999999999999</v>
      </c>
    </row>
    <row r="49" spans="2:19">
      <c r="B49" s="5" t="s">
        <v>212</v>
      </c>
      <c r="C49" s="6" t="s">
        <v>213</v>
      </c>
      <c r="D49" s="13" t="s">
        <v>244</v>
      </c>
      <c r="E49" s="9" t="s">
        <v>214</v>
      </c>
      <c r="F49" s="9" t="s">
        <v>215</v>
      </c>
      <c r="G49" s="10">
        <v>4.67</v>
      </c>
      <c r="H49" s="10">
        <v>4.33</v>
      </c>
      <c r="I49" s="10">
        <v>4.33</v>
      </c>
      <c r="J49" s="10">
        <v>4.5</v>
      </c>
      <c r="K49" s="10">
        <v>4.17</v>
      </c>
      <c r="L49" s="10">
        <v>4.17</v>
      </c>
      <c r="M49" s="10">
        <v>4.33</v>
      </c>
      <c r="N49" s="10">
        <v>4.33</v>
      </c>
      <c r="O49" s="10">
        <v>4.5</v>
      </c>
      <c r="P49" s="10">
        <v>4.5</v>
      </c>
      <c r="Q49" s="11">
        <f t="shared" si="3"/>
        <v>4.3616666666666672</v>
      </c>
      <c r="R49" s="11">
        <f t="shared" si="4"/>
        <v>4.415</v>
      </c>
      <c r="S49" s="11">
        <f t="shared" si="2"/>
        <v>4.383</v>
      </c>
    </row>
    <row r="50" spans="2:19">
      <c r="B50" s="5" t="s">
        <v>216</v>
      </c>
      <c r="C50" s="6" t="s">
        <v>28</v>
      </c>
      <c r="D50" s="15" t="s">
        <v>217</v>
      </c>
      <c r="E50" s="9" t="s">
        <v>218</v>
      </c>
      <c r="F50" s="9" t="s">
        <v>219</v>
      </c>
      <c r="G50" s="10">
        <v>4.33</v>
      </c>
      <c r="H50" s="10">
        <v>4.67</v>
      </c>
      <c r="I50" s="10">
        <v>4.5</v>
      </c>
      <c r="J50" s="10">
        <v>4.67</v>
      </c>
      <c r="K50" s="10">
        <v>4.67</v>
      </c>
      <c r="L50" s="10">
        <v>4.67</v>
      </c>
      <c r="M50" s="10">
        <v>4.67</v>
      </c>
      <c r="N50" s="10">
        <v>4.67</v>
      </c>
      <c r="O50" s="10">
        <v>4.5</v>
      </c>
      <c r="P50" s="10">
        <v>4.33</v>
      </c>
      <c r="Q50" s="11">
        <f t="shared" si="3"/>
        <v>4.5850000000000009</v>
      </c>
      <c r="R50" s="11">
        <f t="shared" si="4"/>
        <v>4.5425000000000004</v>
      </c>
      <c r="S50" s="11">
        <f t="shared" si="2"/>
        <v>4.5680000000000005</v>
      </c>
    </row>
    <row r="51" spans="2:19">
      <c r="B51" s="19"/>
      <c r="C51" s="19"/>
      <c r="D51" s="20"/>
      <c r="E51" s="21"/>
      <c r="F51" s="21"/>
    </row>
    <row r="52" spans="2:19">
      <c r="B52" s="19"/>
      <c r="C52" s="19"/>
      <c r="D52" s="20"/>
      <c r="E52" s="21"/>
      <c r="F52" s="21"/>
    </row>
    <row r="53" spans="2:19">
      <c r="B53" s="19"/>
      <c r="C53" s="19"/>
      <c r="D53" s="20"/>
      <c r="E53" s="21"/>
      <c r="F53" s="21"/>
    </row>
    <row r="54" spans="2:19">
      <c r="B54" s="19"/>
      <c r="C54" s="19"/>
      <c r="D54" s="20"/>
      <c r="E54" s="21"/>
      <c r="F54" s="21"/>
    </row>
    <row r="55" spans="2:19">
      <c r="B55" s="19"/>
      <c r="C55" s="19"/>
      <c r="D55" s="20"/>
      <c r="E55" s="21"/>
    </row>
    <row r="56" spans="2:19">
      <c r="B56" s="19"/>
      <c r="C56" s="19"/>
      <c r="D56" s="20"/>
      <c r="E56" s="21"/>
    </row>
    <row r="57" spans="2:19">
      <c r="B57" s="19"/>
      <c r="C57" s="19"/>
      <c r="D57" s="20"/>
      <c r="E57" s="21"/>
      <c r="F57" s="21"/>
    </row>
    <row r="58" spans="2:19">
      <c r="B58" s="19"/>
      <c r="C58" s="19"/>
      <c r="D58" s="20"/>
      <c r="E58" s="21"/>
      <c r="F58" s="21"/>
    </row>
    <row r="59" spans="2:19">
      <c r="B59" s="19"/>
      <c r="C59" s="19"/>
      <c r="D59" s="20"/>
      <c r="E59" s="21"/>
      <c r="F59" s="21"/>
    </row>
    <row r="60" spans="2:19">
      <c r="B60" s="19"/>
      <c r="C60" s="19"/>
      <c r="D60" s="20"/>
      <c r="E60" s="21"/>
      <c r="F60" s="21"/>
    </row>
    <row r="61" spans="2:19">
      <c r="B61" s="19"/>
      <c r="C61" s="19"/>
      <c r="D61" s="20"/>
      <c r="E61" s="21"/>
      <c r="F61" s="21"/>
    </row>
    <row r="62" spans="2:19">
      <c r="B62" s="19"/>
      <c r="C62" s="19"/>
      <c r="D62" s="20"/>
      <c r="E62" s="21"/>
      <c r="F62" s="21"/>
    </row>
    <row r="63" spans="2:19">
      <c r="B63" s="19"/>
      <c r="C63" s="19"/>
      <c r="D63" s="20"/>
      <c r="E63" s="21"/>
      <c r="F63" s="21"/>
    </row>
    <row r="64" spans="2:19">
      <c r="B64" s="19"/>
      <c r="C64" s="19"/>
      <c r="D64" s="20"/>
      <c r="E64" s="21"/>
      <c r="F64" s="21"/>
    </row>
    <row r="65" spans="2:6">
      <c r="B65" s="19"/>
      <c r="C65" s="19"/>
      <c r="D65" s="20"/>
      <c r="E65" s="21"/>
      <c r="F65" s="21"/>
    </row>
    <row r="66" spans="2:6">
      <c r="B66" s="19"/>
      <c r="C66" s="19"/>
      <c r="D66" s="20"/>
      <c r="E66" s="21"/>
      <c r="F66" s="21"/>
    </row>
    <row r="67" spans="2:6">
      <c r="B67" s="19"/>
      <c r="C67" s="19"/>
      <c r="D67" s="20"/>
      <c r="E67" s="21"/>
      <c r="F67" s="21"/>
    </row>
    <row r="68" spans="2:6">
      <c r="B68" s="19"/>
      <c r="C68" s="19"/>
      <c r="D68" s="20"/>
      <c r="E68" s="21"/>
      <c r="F68" s="21"/>
    </row>
    <row r="69" spans="2:6">
      <c r="B69" s="19"/>
      <c r="C69" s="19"/>
      <c r="D69" s="20"/>
      <c r="E69" s="21"/>
      <c r="F69" s="21"/>
    </row>
    <row r="70" spans="2:6">
      <c r="B70" s="19"/>
      <c r="C70" s="19"/>
      <c r="D70" s="20"/>
      <c r="E70" s="21"/>
      <c r="F70" s="21"/>
    </row>
    <row r="71" spans="2:6">
      <c r="B71" s="19"/>
      <c r="C71" s="19"/>
      <c r="D71" s="20"/>
      <c r="E71" s="21"/>
      <c r="F71" s="21"/>
    </row>
    <row r="72" spans="2:6">
      <c r="B72" s="19"/>
      <c r="C72" s="19"/>
      <c r="D72" s="20"/>
      <c r="E72" s="21"/>
      <c r="F72" s="21"/>
    </row>
    <row r="73" spans="2:6">
      <c r="B73" s="19"/>
      <c r="C73" s="19"/>
      <c r="D73" s="20"/>
      <c r="E73" s="21"/>
      <c r="F73" s="21"/>
    </row>
    <row r="74" spans="2:6">
      <c r="B74" s="19"/>
      <c r="C74" s="19"/>
      <c r="D74" s="20"/>
      <c r="E74" s="21"/>
      <c r="F74" s="21"/>
    </row>
    <row r="75" spans="2:6">
      <c r="B75" s="19"/>
      <c r="C75" s="19"/>
      <c r="D75" s="20"/>
      <c r="E75" s="21"/>
      <c r="F75" s="21"/>
    </row>
    <row r="76" spans="2:6">
      <c r="B76" s="19"/>
      <c r="C76" s="19"/>
      <c r="D76" s="20"/>
      <c r="E76" s="21"/>
      <c r="F76" s="21"/>
    </row>
    <row r="77" spans="2:6">
      <c r="B77" s="19"/>
      <c r="C77" s="19"/>
      <c r="D77" s="20"/>
      <c r="E77" s="21"/>
      <c r="F77" s="21"/>
    </row>
    <row r="78" spans="2:6">
      <c r="B78" s="19"/>
      <c r="C78" s="19"/>
      <c r="D78" s="20"/>
      <c r="E78" s="21"/>
      <c r="F78" s="21"/>
    </row>
    <row r="79" spans="2:6">
      <c r="B79" s="19"/>
      <c r="C79" s="19"/>
      <c r="D79" s="20"/>
      <c r="E79" s="21"/>
      <c r="F79" s="21"/>
    </row>
    <row r="80" spans="2:6">
      <c r="B80" s="19"/>
      <c r="C80" s="19"/>
      <c r="D80" s="20"/>
      <c r="E80" s="21"/>
      <c r="F80" s="21"/>
    </row>
    <row r="81" spans="2:6">
      <c r="B81" s="19"/>
      <c r="C81" s="19"/>
      <c r="D81" s="20"/>
      <c r="E81" s="21"/>
      <c r="F81" s="21"/>
    </row>
    <row r="82" spans="2:6">
      <c r="B82" s="19"/>
      <c r="C82" s="19"/>
      <c r="D82" s="20"/>
      <c r="E82" s="21"/>
      <c r="F82" s="21"/>
    </row>
    <row r="83" spans="2:6">
      <c r="B83" s="19"/>
      <c r="C83" s="19"/>
      <c r="D83" s="20"/>
      <c r="E83" s="21"/>
      <c r="F83" s="21"/>
    </row>
    <row r="84" spans="2:6">
      <c r="B84" s="19"/>
      <c r="C84" s="19"/>
      <c r="D84" s="20"/>
      <c r="E84" s="21"/>
      <c r="F84" s="21"/>
    </row>
    <row r="85" spans="2:6">
      <c r="B85" s="19"/>
      <c r="C85" s="19"/>
      <c r="D85" s="20"/>
      <c r="E85" s="21"/>
      <c r="F85" s="21"/>
    </row>
    <row r="86" spans="2:6">
      <c r="B86" s="19"/>
      <c r="C86" s="19"/>
      <c r="D86" s="20"/>
      <c r="E86" s="21"/>
      <c r="F86" s="21"/>
    </row>
    <row r="87" spans="2:6">
      <c r="B87" s="19"/>
      <c r="C87" s="19"/>
      <c r="D87" s="20"/>
      <c r="E87" s="21"/>
      <c r="F87" s="21"/>
    </row>
    <row r="88" spans="2:6">
      <c r="B88" s="19"/>
      <c r="C88" s="19"/>
      <c r="D88" s="20"/>
      <c r="E88" s="21"/>
      <c r="F88" s="21"/>
    </row>
    <row r="89" spans="2:6">
      <c r="B89" s="19"/>
      <c r="C89" s="19"/>
      <c r="D89" s="20"/>
      <c r="E89" s="21"/>
      <c r="F89" s="21"/>
    </row>
    <row r="90" spans="2:6">
      <c r="B90" s="19"/>
      <c r="C90" s="19"/>
      <c r="D90" s="20"/>
      <c r="E90" s="21"/>
      <c r="F90" s="21"/>
    </row>
    <row r="91" spans="2:6">
      <c r="B91" s="19"/>
      <c r="C91" s="19"/>
      <c r="D91" s="20"/>
      <c r="E91" s="21"/>
      <c r="F91" s="21"/>
    </row>
    <row r="92" spans="2:6">
      <c r="B92" s="19"/>
      <c r="C92" s="19"/>
      <c r="D92" s="20"/>
      <c r="E92" s="21"/>
      <c r="F92" s="21"/>
    </row>
    <row r="93" spans="2:6">
      <c r="B93" s="19"/>
      <c r="C93" s="19"/>
      <c r="D93" s="20"/>
      <c r="E93" s="21"/>
      <c r="F93" s="21"/>
    </row>
    <row r="94" spans="2:6">
      <c r="B94" s="19"/>
      <c r="C94" s="19"/>
      <c r="D94" s="20"/>
      <c r="E94" s="21"/>
      <c r="F94" s="21"/>
    </row>
    <row r="95" spans="2:6">
      <c r="B95" s="19"/>
      <c r="C95" s="19"/>
      <c r="D95" s="20"/>
      <c r="E95" s="21"/>
      <c r="F95" s="21"/>
    </row>
    <row r="96" spans="2:6">
      <c r="B96" s="19"/>
      <c r="C96" s="19"/>
      <c r="D96" s="20"/>
      <c r="E96" s="21"/>
      <c r="F96" s="21"/>
    </row>
    <row r="97" spans="2:6">
      <c r="B97" s="19"/>
      <c r="C97" s="19"/>
      <c r="D97" s="20"/>
      <c r="E97" s="21"/>
      <c r="F97" s="21"/>
    </row>
    <row r="98" spans="2:6">
      <c r="B98" s="19"/>
      <c r="C98" s="19"/>
      <c r="D98" s="20"/>
      <c r="E98" s="21"/>
      <c r="F98" s="21"/>
    </row>
    <row r="99" spans="2:6">
      <c r="B99" s="19"/>
      <c r="C99" s="19"/>
      <c r="D99" s="20"/>
      <c r="E99" s="21"/>
      <c r="F99" s="21"/>
    </row>
    <row r="100" spans="2:6">
      <c r="B100" s="19"/>
      <c r="C100" s="19"/>
      <c r="D100" s="20"/>
      <c r="E100" s="21"/>
      <c r="F100" s="21"/>
    </row>
    <row r="101" spans="2:6">
      <c r="B101" s="19"/>
      <c r="C101" s="19"/>
      <c r="D101" s="20"/>
      <c r="E101" s="21"/>
      <c r="F101" s="21"/>
    </row>
    <row r="102" spans="2:6">
      <c r="B102" s="19"/>
      <c r="C102" s="19"/>
      <c r="D102" s="20"/>
      <c r="E102" s="21"/>
      <c r="F102" s="21"/>
    </row>
    <row r="103" spans="2:6">
      <c r="B103" s="19"/>
      <c r="C103" s="19"/>
      <c r="D103" s="20"/>
      <c r="E103" s="21"/>
      <c r="F103" s="21"/>
    </row>
    <row r="104" spans="2:6">
      <c r="B104" s="19"/>
      <c r="C104" s="19"/>
      <c r="D104" s="20"/>
      <c r="E104" s="21"/>
      <c r="F104" s="21"/>
    </row>
    <row r="105" spans="2:6">
      <c r="B105" s="19"/>
      <c r="C105" s="19"/>
      <c r="D105" s="20"/>
      <c r="E105" s="21"/>
      <c r="F105" s="21"/>
    </row>
    <row r="106" spans="2:6">
      <c r="B106" s="19"/>
      <c r="C106" s="19"/>
      <c r="D106" s="20"/>
      <c r="E106" s="21"/>
      <c r="F106" s="21"/>
    </row>
    <row r="107" spans="2:6">
      <c r="B107" s="19"/>
      <c r="C107" s="19"/>
      <c r="D107" s="20"/>
      <c r="E107" s="21"/>
      <c r="F107" s="21"/>
    </row>
    <row r="108" spans="2:6">
      <c r="B108" s="19"/>
      <c r="C108" s="19"/>
      <c r="D108" s="20"/>
      <c r="E108" s="21"/>
      <c r="F108" s="21"/>
    </row>
    <row r="109" spans="2:6">
      <c r="B109" s="19"/>
      <c r="C109" s="19"/>
      <c r="D109" s="20"/>
      <c r="E109" s="21"/>
      <c r="F109" s="21"/>
    </row>
    <row r="110" spans="2:6">
      <c r="B110" s="19"/>
      <c r="C110" s="19"/>
      <c r="D110" s="20"/>
      <c r="E110" s="21"/>
      <c r="F110" s="21"/>
    </row>
    <row r="111" spans="2:6">
      <c r="B111" s="19"/>
      <c r="C111" s="19"/>
      <c r="D111" s="20"/>
      <c r="E111" s="21"/>
      <c r="F111" s="21"/>
    </row>
    <row r="112" spans="2:6">
      <c r="B112" s="19"/>
      <c r="C112" s="19"/>
      <c r="D112" s="20"/>
      <c r="E112" s="21"/>
      <c r="F112" s="21"/>
    </row>
    <row r="113" spans="2:6">
      <c r="B113" s="19"/>
      <c r="C113" s="19"/>
      <c r="D113" s="20"/>
      <c r="E113" s="21"/>
      <c r="F113" s="21"/>
    </row>
    <row r="114" spans="2:6">
      <c r="B114" s="19"/>
      <c r="C114" s="19"/>
      <c r="D114" s="20"/>
      <c r="E114" s="21"/>
      <c r="F114" s="21"/>
    </row>
    <row r="115" spans="2:6">
      <c r="B115" s="19"/>
      <c r="C115" s="19"/>
      <c r="D115" s="20"/>
      <c r="E115" s="21"/>
      <c r="F115" s="21"/>
    </row>
    <row r="116" spans="2:6">
      <c r="B116" s="19"/>
      <c r="C116" s="19"/>
      <c r="D116" s="20"/>
      <c r="E116" s="21"/>
      <c r="F116" s="21"/>
    </row>
    <row r="117" spans="2:6">
      <c r="B117" s="19"/>
      <c r="C117" s="19"/>
      <c r="D117" s="20"/>
      <c r="E117" s="21"/>
      <c r="F117" s="21"/>
    </row>
    <row r="118" spans="2:6">
      <c r="B118" s="19"/>
      <c r="C118" s="19"/>
      <c r="D118" s="20"/>
      <c r="E118" s="21"/>
      <c r="F118" s="21"/>
    </row>
    <row r="119" spans="2:6">
      <c r="B119" s="19"/>
      <c r="C119" s="19"/>
      <c r="D119" s="20"/>
      <c r="E119" s="21"/>
      <c r="F119" s="21"/>
    </row>
    <row r="120" spans="2:6">
      <c r="B120" s="19"/>
      <c r="C120" s="19"/>
      <c r="D120" s="20"/>
      <c r="E120" s="21"/>
      <c r="F120" s="21"/>
    </row>
    <row r="121" spans="2:6">
      <c r="B121" s="19"/>
      <c r="C121" s="19"/>
      <c r="D121" s="20"/>
      <c r="E121" s="21"/>
      <c r="F121" s="21"/>
    </row>
    <row r="122" spans="2:6">
      <c r="B122" s="19"/>
      <c r="C122" s="19"/>
      <c r="D122" s="20"/>
      <c r="E122" s="21"/>
      <c r="F122" s="21"/>
    </row>
    <row r="123" spans="2:6">
      <c r="B123" s="19"/>
      <c r="C123" s="19"/>
      <c r="D123" s="20"/>
      <c r="E123" s="21"/>
      <c r="F123" s="21"/>
    </row>
    <row r="124" spans="2:6">
      <c r="B124" s="19"/>
      <c r="C124" s="19"/>
      <c r="D124" s="20"/>
      <c r="E124" s="21"/>
      <c r="F124" s="21"/>
    </row>
    <row r="125" spans="2:6">
      <c r="B125" s="19"/>
      <c r="C125" s="19"/>
      <c r="D125" s="20"/>
      <c r="E125" s="21"/>
      <c r="F125" s="21"/>
    </row>
    <row r="126" spans="2:6">
      <c r="B126" s="19"/>
      <c r="C126" s="19"/>
      <c r="D126" s="20"/>
      <c r="E126" s="21"/>
      <c r="F126" s="21"/>
    </row>
    <row r="127" spans="2:6">
      <c r="B127" s="19"/>
      <c r="C127" s="19"/>
      <c r="D127" s="20"/>
      <c r="E127" s="21"/>
      <c r="F127" s="21"/>
    </row>
    <row r="128" spans="2:6">
      <c r="B128" s="19"/>
      <c r="C128" s="19"/>
      <c r="D128" s="20"/>
      <c r="E128" s="21"/>
      <c r="F128" s="21"/>
    </row>
    <row r="129" spans="2:6">
      <c r="B129" s="19"/>
      <c r="C129" s="19"/>
      <c r="D129" s="20"/>
      <c r="E129" s="21"/>
      <c r="F129" s="21"/>
    </row>
    <row r="130" spans="2:6">
      <c r="B130" s="19"/>
      <c r="C130" s="19"/>
      <c r="D130" s="20"/>
      <c r="E130" s="21"/>
      <c r="F130" s="21"/>
    </row>
    <row r="131" spans="2:6">
      <c r="B131" s="19"/>
      <c r="C131" s="19"/>
      <c r="D131" s="20"/>
      <c r="E131" s="21"/>
      <c r="F131" s="21"/>
    </row>
    <row r="132" spans="2:6">
      <c r="B132" s="19"/>
      <c r="C132" s="19"/>
      <c r="D132" s="20"/>
      <c r="E132" s="21"/>
      <c r="F132" s="21"/>
    </row>
    <row r="133" spans="2:6">
      <c r="B133" s="19"/>
      <c r="C133" s="19"/>
      <c r="D133" s="20"/>
      <c r="E133" s="21"/>
      <c r="F133" s="21"/>
    </row>
    <row r="134" spans="2:6">
      <c r="B134" s="19"/>
      <c r="C134" s="19"/>
      <c r="D134" s="20"/>
      <c r="E134" s="21"/>
      <c r="F134" s="21"/>
    </row>
    <row r="135" spans="2:6">
      <c r="B135" s="19"/>
      <c r="C135" s="19"/>
      <c r="D135" s="20"/>
      <c r="E135" s="21"/>
      <c r="F135" s="21"/>
    </row>
    <row r="136" spans="2:6">
      <c r="B136" s="19"/>
      <c r="C136" s="19"/>
      <c r="D136" s="20"/>
      <c r="E136" s="21"/>
      <c r="F136" s="21"/>
    </row>
    <row r="137" spans="2:6">
      <c r="B137" s="19"/>
      <c r="C137" s="19"/>
      <c r="D137" s="20"/>
      <c r="E137" s="21"/>
      <c r="F137" s="21"/>
    </row>
    <row r="138" spans="2:6">
      <c r="B138" s="19"/>
      <c r="C138" s="19"/>
      <c r="D138" s="20"/>
      <c r="E138" s="21"/>
      <c r="F138" s="21"/>
    </row>
    <row r="139" spans="2:6">
      <c r="B139" s="19"/>
      <c r="C139" s="19"/>
      <c r="D139" s="20"/>
      <c r="E139" s="21"/>
      <c r="F139" s="21"/>
    </row>
    <row r="140" spans="2:6">
      <c r="B140" s="19"/>
      <c r="C140" s="19"/>
      <c r="D140" s="20"/>
      <c r="E140" s="21"/>
      <c r="F140" s="21"/>
    </row>
    <row r="141" spans="2:6">
      <c r="B141" s="19"/>
      <c r="C141" s="19"/>
      <c r="D141" s="20"/>
      <c r="E141" s="21"/>
      <c r="F141" s="21"/>
    </row>
    <row r="142" spans="2:6">
      <c r="B142" s="19"/>
      <c r="C142" s="19"/>
      <c r="D142" s="20"/>
      <c r="E142" s="21"/>
      <c r="F142" s="21"/>
    </row>
    <row r="143" spans="2:6">
      <c r="B143" s="19"/>
      <c r="C143" s="19"/>
      <c r="D143" s="20"/>
      <c r="E143" s="21"/>
      <c r="F143" s="21"/>
    </row>
    <row r="144" spans="2:6">
      <c r="B144" s="19"/>
      <c r="C144" s="19"/>
      <c r="D144" s="20"/>
      <c r="E144" s="21"/>
      <c r="F144" s="21"/>
    </row>
    <row r="145" spans="2:6">
      <c r="B145" s="19"/>
      <c r="C145" s="19"/>
      <c r="D145" s="20"/>
      <c r="E145" s="21"/>
      <c r="F145" s="21"/>
    </row>
    <row r="146" spans="2:6">
      <c r="B146" s="19"/>
      <c r="C146" s="19"/>
      <c r="D146" s="20"/>
      <c r="E146" s="21"/>
      <c r="F146" s="21"/>
    </row>
    <row r="147" spans="2:6">
      <c r="B147" s="19"/>
      <c r="C147" s="19"/>
      <c r="D147" s="20"/>
      <c r="E147" s="21"/>
      <c r="F147" s="21"/>
    </row>
    <row r="148" spans="2:6">
      <c r="B148" s="19"/>
      <c r="C148" s="19"/>
      <c r="D148" s="20"/>
      <c r="E148" s="21"/>
      <c r="F148" s="21"/>
    </row>
    <row r="149" spans="2:6">
      <c r="B149" s="19"/>
      <c r="C149" s="19"/>
      <c r="D149" s="20"/>
      <c r="E149" s="21"/>
      <c r="F149" s="21"/>
    </row>
    <row r="150" spans="2:6">
      <c r="B150" s="19"/>
      <c r="C150" s="19"/>
      <c r="D150" s="20"/>
      <c r="E150" s="21"/>
      <c r="F150" s="21"/>
    </row>
    <row r="151" spans="2:6">
      <c r="B151" s="19"/>
      <c r="C151" s="19"/>
      <c r="D151" s="20"/>
      <c r="E151" s="21"/>
      <c r="F151" s="21"/>
    </row>
    <row r="152" spans="2:6">
      <c r="B152" s="19"/>
      <c r="C152" s="19"/>
      <c r="D152" s="20"/>
      <c r="E152" s="21"/>
      <c r="F152" s="21"/>
    </row>
    <row r="153" spans="2:6">
      <c r="B153" s="19"/>
      <c r="C153" s="19"/>
      <c r="D153" s="20"/>
      <c r="E153" s="21"/>
      <c r="F153" s="21"/>
    </row>
    <row r="154" spans="2:6">
      <c r="B154" s="19"/>
      <c r="C154" s="19"/>
      <c r="D154" s="20"/>
      <c r="E154" s="21"/>
      <c r="F154" s="21"/>
    </row>
    <row r="155" spans="2:6">
      <c r="B155" s="19"/>
      <c r="C155" s="19"/>
      <c r="D155" s="20"/>
      <c r="E155" s="21"/>
      <c r="F155" s="21"/>
    </row>
    <row r="156" spans="2:6">
      <c r="B156" s="19"/>
      <c r="C156" s="19"/>
      <c r="D156" s="20"/>
      <c r="E156" s="21"/>
      <c r="F156" s="21"/>
    </row>
    <row r="157" spans="2:6">
      <c r="B157" s="19"/>
      <c r="C157" s="19"/>
      <c r="D157" s="20"/>
      <c r="E157" s="21"/>
      <c r="F157" s="21"/>
    </row>
    <row r="158" spans="2:6">
      <c r="B158" s="19"/>
      <c r="C158" s="19"/>
      <c r="D158" s="20"/>
      <c r="E158" s="21"/>
      <c r="F158" s="21"/>
    </row>
    <row r="159" spans="2:6">
      <c r="B159" s="19"/>
      <c r="C159" s="19"/>
      <c r="D159" s="20"/>
      <c r="E159" s="21"/>
      <c r="F159" s="21"/>
    </row>
    <row r="160" spans="2:6">
      <c r="B160" s="19"/>
      <c r="C160" s="19"/>
      <c r="D160" s="20"/>
      <c r="E160" s="21"/>
      <c r="F160" s="21"/>
    </row>
    <row r="161" spans="2:6">
      <c r="B161" s="19"/>
      <c r="C161" s="19"/>
      <c r="D161" s="20"/>
      <c r="E161" s="21"/>
      <c r="F161" s="21"/>
    </row>
    <row r="162" spans="2:6">
      <c r="B162" s="19"/>
      <c r="C162" s="19"/>
      <c r="D162" s="20"/>
      <c r="E162" s="21"/>
      <c r="F162" s="21"/>
    </row>
    <row r="163" spans="2:6">
      <c r="B163" s="19"/>
      <c r="C163" s="19"/>
      <c r="D163" s="20"/>
      <c r="E163" s="21"/>
      <c r="F163" s="21"/>
    </row>
    <row r="164" spans="2:6">
      <c r="B164" s="19"/>
      <c r="C164" s="19"/>
      <c r="D164" s="20"/>
      <c r="E164" s="21"/>
      <c r="F164" s="21"/>
    </row>
    <row r="165" spans="2:6">
      <c r="B165" s="19"/>
      <c r="C165" s="19"/>
      <c r="D165" s="20"/>
      <c r="E165" s="21"/>
      <c r="F165" s="21"/>
    </row>
    <row r="166" spans="2:6">
      <c r="B166" s="19"/>
      <c r="C166" s="19"/>
      <c r="D166" s="20"/>
      <c r="E166" s="21"/>
      <c r="F166" s="21"/>
    </row>
    <row r="167" spans="2:6">
      <c r="B167" s="19"/>
      <c r="C167" s="19"/>
      <c r="D167" s="20"/>
      <c r="E167" s="21"/>
      <c r="F167" s="21"/>
    </row>
    <row r="168" spans="2:6">
      <c r="B168" s="19"/>
      <c r="C168" s="19"/>
      <c r="D168" s="20"/>
      <c r="E168" s="21"/>
      <c r="F168" s="21"/>
    </row>
    <row r="169" spans="2:6">
      <c r="B169" s="19"/>
      <c r="C169" s="19"/>
      <c r="D169" s="20"/>
      <c r="E169" s="21"/>
      <c r="F169" s="21"/>
    </row>
    <row r="170" spans="2:6">
      <c r="B170" s="19"/>
      <c r="C170" s="19"/>
      <c r="D170" s="20"/>
      <c r="E170" s="21"/>
      <c r="F170" s="21"/>
    </row>
    <row r="171" spans="2:6">
      <c r="B171" s="19"/>
      <c r="C171" s="19"/>
      <c r="D171" s="20"/>
      <c r="E171" s="21"/>
      <c r="F171" s="21"/>
    </row>
    <row r="172" spans="2:6">
      <c r="B172" s="19"/>
      <c r="C172" s="19"/>
      <c r="D172" s="20"/>
      <c r="E172" s="21"/>
      <c r="F172" s="21"/>
    </row>
    <row r="173" spans="2:6">
      <c r="B173" s="19"/>
      <c r="C173" s="19"/>
      <c r="D173" s="20"/>
      <c r="E173" s="21"/>
      <c r="F173" s="21"/>
    </row>
    <row r="174" spans="2:6">
      <c r="B174" s="19"/>
      <c r="C174" s="19"/>
      <c r="D174" s="20"/>
      <c r="E174" s="21"/>
      <c r="F174" s="21"/>
    </row>
    <row r="175" spans="2:6">
      <c r="B175" s="19"/>
      <c r="C175" s="19"/>
      <c r="D175" s="20"/>
      <c r="E175" s="21"/>
      <c r="F175" s="21"/>
    </row>
    <row r="176" spans="2:6">
      <c r="B176" s="19"/>
      <c r="C176" s="19"/>
      <c r="D176" s="20"/>
      <c r="E176" s="21"/>
      <c r="F176" s="21"/>
    </row>
    <row r="177" spans="2:6">
      <c r="B177" s="19"/>
      <c r="C177" s="19"/>
      <c r="D177" s="20"/>
      <c r="E177" s="21"/>
      <c r="F177" s="21"/>
    </row>
    <row r="178" spans="2:6">
      <c r="B178" s="19"/>
      <c r="C178" s="19"/>
      <c r="D178" s="20"/>
      <c r="E178" s="21"/>
      <c r="F178" s="21"/>
    </row>
    <row r="179" spans="2:6">
      <c r="B179" s="19"/>
      <c r="C179" s="19"/>
      <c r="D179" s="20"/>
      <c r="E179" s="21"/>
      <c r="F179" s="21"/>
    </row>
    <row r="180" spans="2:6">
      <c r="B180" s="19"/>
      <c r="C180" s="19"/>
      <c r="D180" s="20"/>
      <c r="E180" s="21"/>
      <c r="F180" s="21"/>
    </row>
    <row r="181" spans="2:6">
      <c r="B181" s="19"/>
      <c r="C181" s="19"/>
      <c r="D181" s="20"/>
      <c r="E181" s="21"/>
      <c r="F181" s="21"/>
    </row>
    <row r="182" spans="2:6">
      <c r="B182" s="19"/>
      <c r="C182" s="19"/>
      <c r="D182" s="20"/>
      <c r="E182" s="21"/>
      <c r="F182" s="21"/>
    </row>
    <row r="183" spans="2:6">
      <c r="B183" s="19"/>
      <c r="C183" s="19"/>
      <c r="D183" s="20"/>
      <c r="E183" s="21"/>
      <c r="F183" s="21"/>
    </row>
    <row r="184" spans="2:6">
      <c r="B184" s="19"/>
      <c r="C184" s="19"/>
      <c r="D184" s="20"/>
      <c r="E184" s="21"/>
      <c r="F184" s="21"/>
    </row>
    <row r="185" spans="2:6">
      <c r="B185" s="19"/>
      <c r="C185" s="19"/>
      <c r="D185" s="20"/>
      <c r="E185" s="21"/>
      <c r="F185" s="21"/>
    </row>
    <row r="186" spans="2:6">
      <c r="B186" s="19"/>
      <c r="C186" s="19"/>
      <c r="D186" s="20"/>
      <c r="E186" s="21"/>
      <c r="F186" s="21"/>
    </row>
    <row r="187" spans="2:6">
      <c r="B187" s="19"/>
      <c r="C187" s="19"/>
      <c r="D187" s="20"/>
      <c r="E187" s="21"/>
      <c r="F187" s="21"/>
    </row>
    <row r="188" spans="2:6">
      <c r="B188" s="19"/>
      <c r="C188" s="19"/>
      <c r="D188" s="20"/>
      <c r="E188" s="21"/>
      <c r="F188" s="21"/>
    </row>
    <row r="189" spans="2:6">
      <c r="B189" s="19"/>
      <c r="C189" s="19"/>
      <c r="D189" s="20"/>
      <c r="E189" s="21"/>
      <c r="F189" s="21"/>
    </row>
    <row r="190" spans="2:6">
      <c r="B190" s="19"/>
      <c r="C190" s="19"/>
      <c r="D190" s="20"/>
      <c r="E190" s="21"/>
      <c r="F190" s="21"/>
    </row>
    <row r="191" spans="2:6">
      <c r="B191" s="19"/>
      <c r="C191" s="19"/>
      <c r="D191" s="20"/>
      <c r="E191" s="21"/>
      <c r="F191" s="21"/>
    </row>
    <row r="192" spans="2:6">
      <c r="B192" s="19"/>
      <c r="C192" s="19"/>
      <c r="D192" s="20"/>
      <c r="E192" s="21"/>
      <c r="F192" s="21"/>
    </row>
    <row r="193" spans="2:6">
      <c r="B193" s="19"/>
      <c r="C193" s="19"/>
      <c r="D193" s="20"/>
      <c r="E193" s="21"/>
      <c r="F193" s="21"/>
    </row>
    <row r="194" spans="2:6">
      <c r="B194" s="19"/>
      <c r="C194" s="19"/>
      <c r="D194" s="20"/>
      <c r="E194" s="21"/>
      <c r="F194" s="21"/>
    </row>
    <row r="195" spans="2:6">
      <c r="B195" s="19"/>
      <c r="C195" s="19"/>
      <c r="D195" s="20"/>
      <c r="E195" s="21"/>
      <c r="F195" s="21"/>
    </row>
    <row r="196" spans="2:6">
      <c r="B196" s="19"/>
      <c r="C196" s="19"/>
      <c r="D196" s="20"/>
      <c r="E196" s="21"/>
      <c r="F196" s="21"/>
    </row>
    <row r="197" spans="2:6">
      <c r="B197" s="19"/>
      <c r="C197" s="19"/>
      <c r="D197" s="20"/>
      <c r="E197" s="21"/>
      <c r="F197" s="21"/>
    </row>
    <row r="198" spans="2:6">
      <c r="B198" s="19"/>
      <c r="C198" s="19"/>
      <c r="D198" s="20"/>
      <c r="E198" s="21"/>
      <c r="F198" s="21"/>
    </row>
    <row r="199" spans="2:6">
      <c r="B199" s="19"/>
      <c r="C199" s="19"/>
      <c r="D199" s="20"/>
      <c r="E199" s="21"/>
      <c r="F199" s="21"/>
    </row>
    <row r="200" spans="2:6">
      <c r="B200" s="19"/>
      <c r="C200" s="19"/>
      <c r="D200" s="20"/>
      <c r="E200" s="21"/>
      <c r="F200" s="21"/>
    </row>
    <row r="201" spans="2:6">
      <c r="B201" s="19"/>
      <c r="C201" s="19"/>
      <c r="D201" s="20"/>
      <c r="E201" s="21"/>
      <c r="F201" s="21"/>
    </row>
    <row r="202" spans="2:6">
      <c r="B202" s="19"/>
      <c r="C202" s="19"/>
      <c r="D202" s="20"/>
      <c r="E202" s="21"/>
      <c r="F202" s="21"/>
    </row>
    <row r="203" spans="2:6">
      <c r="B203" s="19"/>
      <c r="C203" s="19"/>
      <c r="D203" s="20"/>
      <c r="E203" s="21"/>
      <c r="F203" s="21"/>
    </row>
    <row r="204" spans="2:6">
      <c r="B204" s="19"/>
      <c r="C204" s="19"/>
      <c r="D204" s="20"/>
      <c r="E204" s="21"/>
      <c r="F204" s="21"/>
    </row>
    <row r="205" spans="2:6">
      <c r="B205" s="19"/>
      <c r="C205" s="19"/>
      <c r="D205" s="20"/>
      <c r="E205" s="21"/>
      <c r="F205" s="21"/>
    </row>
    <row r="206" spans="2:6">
      <c r="B206" s="19"/>
      <c r="C206" s="19"/>
      <c r="D206" s="20"/>
      <c r="E206" s="21"/>
      <c r="F206" s="21"/>
    </row>
    <row r="207" spans="2:6">
      <c r="B207" s="19"/>
      <c r="C207" s="19"/>
      <c r="D207" s="20"/>
      <c r="E207" s="21"/>
      <c r="F207" s="21"/>
    </row>
    <row r="208" spans="2:6">
      <c r="B208" s="19"/>
      <c r="C208" s="19"/>
      <c r="D208" s="20"/>
      <c r="E208" s="21"/>
      <c r="F208" s="21"/>
    </row>
    <row r="209" spans="2:6">
      <c r="B209" s="19"/>
      <c r="C209" s="19"/>
      <c r="D209" s="20"/>
      <c r="E209" s="21"/>
      <c r="F209" s="21"/>
    </row>
    <row r="210" spans="2:6">
      <c r="B210" s="19"/>
      <c r="C210" s="19"/>
      <c r="D210" s="20"/>
      <c r="E210" s="21"/>
      <c r="F210" s="21"/>
    </row>
    <row r="211" spans="2:6">
      <c r="B211" s="19"/>
      <c r="C211" s="19"/>
      <c r="D211" s="20"/>
      <c r="E211" s="21"/>
      <c r="F211" s="21"/>
    </row>
    <row r="212" spans="2:6">
      <c r="B212" s="19"/>
      <c r="C212" s="19"/>
      <c r="D212" s="20"/>
      <c r="E212" s="21"/>
      <c r="F212" s="21"/>
    </row>
    <row r="213" spans="2:6">
      <c r="B213" s="19"/>
      <c r="C213" s="19"/>
      <c r="D213" s="20"/>
      <c r="E213" s="21"/>
      <c r="F213" s="21"/>
    </row>
    <row r="214" spans="2:6">
      <c r="B214" s="19"/>
      <c r="C214" s="19"/>
      <c r="D214" s="20"/>
      <c r="E214" s="21"/>
      <c r="F214" s="21"/>
    </row>
    <row r="215" spans="2:6">
      <c r="B215" s="19"/>
      <c r="C215" s="19"/>
      <c r="D215" s="20"/>
      <c r="E215" s="21"/>
      <c r="F215" s="21"/>
    </row>
    <row r="216" spans="2:6">
      <c r="B216" s="19"/>
      <c r="C216" s="19"/>
      <c r="D216" s="20"/>
      <c r="E216" s="21"/>
      <c r="F216" s="21"/>
    </row>
    <row r="217" spans="2:6">
      <c r="B217" s="19"/>
      <c r="C217" s="19"/>
      <c r="D217" s="20"/>
      <c r="E217" s="21"/>
      <c r="F217" s="21"/>
    </row>
    <row r="218" spans="2:6">
      <c r="B218" s="19"/>
      <c r="C218" s="19"/>
      <c r="D218" s="20"/>
      <c r="E218" s="21"/>
      <c r="F218" s="21"/>
    </row>
    <row r="219" spans="2:6">
      <c r="B219" s="19"/>
      <c r="C219" s="19"/>
      <c r="D219" s="20"/>
      <c r="E219" s="21"/>
      <c r="F219" s="21"/>
    </row>
    <row r="220" spans="2:6">
      <c r="B220" s="19"/>
      <c r="C220" s="19"/>
      <c r="D220" s="20"/>
      <c r="E220" s="21"/>
      <c r="F220" s="21"/>
    </row>
    <row r="221" spans="2:6">
      <c r="B221" s="19"/>
      <c r="C221" s="19"/>
      <c r="D221" s="20"/>
      <c r="E221" s="21"/>
      <c r="F221" s="21"/>
    </row>
    <row r="222" spans="2:6">
      <c r="B222" s="19"/>
      <c r="C222" s="19"/>
      <c r="D222" s="20"/>
      <c r="E222" s="21"/>
      <c r="F222" s="21"/>
    </row>
    <row r="223" spans="2:6">
      <c r="B223" s="19"/>
      <c r="C223" s="19"/>
      <c r="D223" s="20"/>
      <c r="E223" s="21"/>
      <c r="F223" s="21"/>
    </row>
    <row r="224" spans="2:6">
      <c r="B224" s="19"/>
      <c r="C224" s="19"/>
      <c r="D224" s="20"/>
      <c r="E224" s="21"/>
      <c r="F224" s="21"/>
    </row>
    <row r="225" spans="2:6">
      <c r="B225" s="19"/>
      <c r="C225" s="19"/>
      <c r="D225" s="20"/>
      <c r="E225" s="21"/>
      <c r="F225" s="21"/>
    </row>
    <row r="226" spans="2:6">
      <c r="B226" s="19"/>
      <c r="C226" s="19"/>
      <c r="D226" s="20"/>
      <c r="E226" s="21"/>
      <c r="F226" s="21"/>
    </row>
    <row r="227" spans="2:6">
      <c r="B227" s="19"/>
      <c r="C227" s="19"/>
      <c r="D227" s="20"/>
      <c r="E227" s="21"/>
      <c r="F227" s="21"/>
    </row>
    <row r="228" spans="2:6">
      <c r="B228" s="19"/>
      <c r="C228" s="19"/>
      <c r="D228" s="20"/>
      <c r="E228" s="21"/>
      <c r="F228" s="21"/>
    </row>
    <row r="229" spans="2:6">
      <c r="B229" s="19"/>
      <c r="C229" s="19"/>
      <c r="D229" s="20"/>
      <c r="E229" s="21"/>
      <c r="F229" s="21"/>
    </row>
    <row r="230" spans="2:6">
      <c r="B230" s="19"/>
      <c r="C230" s="19"/>
      <c r="D230" s="20"/>
      <c r="E230" s="21"/>
      <c r="F230" s="21"/>
    </row>
    <row r="231" spans="2:6">
      <c r="B231" s="19"/>
      <c r="C231" s="19"/>
      <c r="D231" s="20"/>
      <c r="E231" s="21"/>
      <c r="F231" s="21"/>
    </row>
    <row r="232" spans="2:6">
      <c r="B232" s="19"/>
      <c r="C232" s="19"/>
      <c r="D232" s="20"/>
      <c r="E232" s="21"/>
      <c r="F232" s="21"/>
    </row>
    <row r="233" spans="2:6">
      <c r="B233" s="19"/>
      <c r="C233" s="19"/>
      <c r="D233" s="20"/>
      <c r="E233" s="21"/>
      <c r="F233" s="21"/>
    </row>
    <row r="234" spans="2:6">
      <c r="B234" s="19"/>
      <c r="C234" s="19"/>
      <c r="D234" s="20"/>
      <c r="E234" s="21"/>
      <c r="F234" s="21"/>
    </row>
    <row r="235" spans="2:6">
      <c r="B235" s="19"/>
      <c r="C235" s="19"/>
      <c r="D235" s="20"/>
      <c r="E235" s="21"/>
      <c r="F235" s="21"/>
    </row>
    <row r="236" spans="2:6">
      <c r="B236" s="19"/>
      <c r="C236" s="19"/>
      <c r="D236" s="20"/>
      <c r="E236" s="21"/>
      <c r="F236" s="21"/>
    </row>
    <row r="237" spans="2:6">
      <c r="B237" s="19"/>
      <c r="C237" s="19"/>
      <c r="D237" s="20"/>
      <c r="E237" s="21"/>
      <c r="F237" s="21"/>
    </row>
    <row r="238" spans="2:6">
      <c r="B238" s="19"/>
      <c r="C238" s="19"/>
      <c r="D238" s="20"/>
      <c r="E238" s="21"/>
      <c r="F238" s="21"/>
    </row>
    <row r="239" spans="2:6">
      <c r="B239" s="19"/>
      <c r="C239" s="19"/>
      <c r="D239" s="20"/>
      <c r="E239" s="21"/>
      <c r="F239" s="21"/>
    </row>
    <row r="240" spans="2:6">
      <c r="B240" s="19"/>
      <c r="C240" s="19"/>
      <c r="D240" s="20"/>
      <c r="E240" s="21"/>
      <c r="F240" s="21"/>
    </row>
    <row r="241" spans="2:6">
      <c r="B241" s="19"/>
      <c r="C241" s="19"/>
      <c r="D241" s="20"/>
      <c r="E241" s="21"/>
      <c r="F241" s="21"/>
    </row>
    <row r="242" spans="2:6">
      <c r="B242" s="19"/>
      <c r="C242" s="19"/>
      <c r="D242" s="20"/>
      <c r="E242" s="21"/>
      <c r="F242" s="21"/>
    </row>
    <row r="243" spans="2:6">
      <c r="B243" s="19"/>
      <c r="C243" s="19"/>
      <c r="D243" s="20"/>
      <c r="E243" s="21"/>
      <c r="F243" s="21"/>
    </row>
    <row r="244" spans="2:6">
      <c r="B244" s="19"/>
      <c r="C244" s="19"/>
      <c r="D244" s="20"/>
      <c r="E244" s="21"/>
      <c r="F244" s="21"/>
    </row>
    <row r="245" spans="2:6">
      <c r="B245" s="19"/>
      <c r="C245" s="19"/>
      <c r="D245" s="20"/>
      <c r="E245" s="21"/>
      <c r="F245" s="21"/>
    </row>
    <row r="246" spans="2:6">
      <c r="B246" s="19"/>
      <c r="C246" s="19"/>
      <c r="D246" s="20"/>
      <c r="E246" s="21"/>
      <c r="F246" s="21"/>
    </row>
    <row r="247" spans="2:6">
      <c r="B247" s="19"/>
      <c r="C247" s="19"/>
      <c r="D247" s="20"/>
      <c r="E247" s="21"/>
      <c r="F247" s="21"/>
    </row>
    <row r="248" spans="2:6">
      <c r="B248" s="19"/>
      <c r="C248" s="19"/>
      <c r="D248" s="20"/>
      <c r="E248" s="21"/>
      <c r="F248" s="21"/>
    </row>
    <row r="249" spans="2:6">
      <c r="B249" s="19"/>
      <c r="C249" s="19"/>
      <c r="D249" s="20"/>
      <c r="E249" s="21"/>
      <c r="F249" s="21"/>
    </row>
    <row r="250" spans="2:6">
      <c r="B250" s="19"/>
      <c r="C250" s="19"/>
      <c r="D250" s="20"/>
      <c r="E250" s="21"/>
      <c r="F250" s="21"/>
    </row>
    <row r="251" spans="2:6">
      <c r="B251" s="19"/>
      <c r="C251" s="19"/>
      <c r="D251" s="20"/>
      <c r="E251" s="21"/>
      <c r="F251" s="21"/>
    </row>
    <row r="252" spans="2:6">
      <c r="B252" s="19"/>
      <c r="C252" s="19"/>
      <c r="D252" s="20"/>
      <c r="E252" s="21"/>
      <c r="F252" s="21"/>
    </row>
    <row r="253" spans="2:6">
      <c r="B253" s="19"/>
      <c r="C253" s="19"/>
      <c r="D253" s="20"/>
      <c r="E253" s="21"/>
      <c r="F253" s="21"/>
    </row>
    <row r="254" spans="2:6">
      <c r="B254" s="19"/>
      <c r="C254" s="19"/>
      <c r="D254" s="20"/>
      <c r="E254" s="21"/>
      <c r="F254" s="21"/>
    </row>
    <row r="255" spans="2:6">
      <c r="B255" s="19"/>
      <c r="C255" s="19"/>
      <c r="D255" s="20"/>
      <c r="E255" s="21"/>
      <c r="F255" s="21"/>
    </row>
    <row r="256" spans="2:6">
      <c r="B256" s="19"/>
      <c r="C256" s="19"/>
      <c r="D256" s="20"/>
      <c r="E256" s="21"/>
      <c r="F256" s="21"/>
    </row>
    <row r="257" spans="2:6">
      <c r="B257" s="19"/>
      <c r="C257" s="19"/>
      <c r="D257" s="20"/>
      <c r="E257" s="21"/>
      <c r="F257" s="21"/>
    </row>
    <row r="258" spans="2:6">
      <c r="B258" s="19"/>
      <c r="C258" s="19"/>
      <c r="D258" s="20"/>
      <c r="E258" s="21"/>
      <c r="F258" s="21"/>
    </row>
    <row r="259" spans="2:6">
      <c r="B259" s="19"/>
      <c r="C259" s="19"/>
      <c r="D259" s="20"/>
      <c r="E259" s="21"/>
      <c r="F259" s="21"/>
    </row>
    <row r="260" spans="2:6">
      <c r="B260" s="19"/>
      <c r="C260" s="19"/>
      <c r="D260" s="20"/>
      <c r="E260" s="21"/>
      <c r="F260" s="21"/>
    </row>
    <row r="261" spans="2:6">
      <c r="B261" s="19"/>
      <c r="C261" s="19"/>
      <c r="D261" s="20"/>
      <c r="E261" s="21"/>
      <c r="F261" s="21"/>
    </row>
    <row r="262" spans="2:6">
      <c r="B262" s="19"/>
      <c r="C262" s="19"/>
      <c r="D262" s="20"/>
      <c r="E262" s="21"/>
      <c r="F262" s="21"/>
    </row>
    <row r="263" spans="2:6">
      <c r="B263" s="19"/>
      <c r="C263" s="19"/>
      <c r="D263" s="20"/>
      <c r="E263" s="21"/>
      <c r="F263" s="21"/>
    </row>
    <row r="264" spans="2:6">
      <c r="B264" s="19"/>
      <c r="C264" s="19"/>
      <c r="D264" s="20"/>
      <c r="E264" s="21"/>
      <c r="F264" s="21"/>
    </row>
    <row r="265" spans="2:6">
      <c r="B265" s="19"/>
      <c r="C265" s="19"/>
      <c r="D265" s="20"/>
      <c r="E265" s="21"/>
      <c r="F265" s="21"/>
    </row>
    <row r="266" spans="2:6">
      <c r="B266" s="19"/>
      <c r="C266" s="19"/>
      <c r="D266" s="20"/>
      <c r="E266" s="21"/>
      <c r="F266" s="21"/>
    </row>
    <row r="267" spans="2:6">
      <c r="B267" s="19"/>
      <c r="C267" s="19"/>
      <c r="D267" s="20"/>
      <c r="E267" s="21"/>
      <c r="F267" s="21"/>
    </row>
    <row r="268" spans="2:6">
      <c r="B268" s="19"/>
      <c r="C268" s="19"/>
      <c r="D268" s="20"/>
      <c r="E268" s="21"/>
      <c r="F268" s="21"/>
    </row>
    <row r="269" spans="2:6">
      <c r="B269" s="19"/>
      <c r="C269" s="19"/>
      <c r="D269" s="20"/>
      <c r="E269" s="21"/>
      <c r="F269" s="21"/>
    </row>
    <row r="270" spans="2:6">
      <c r="B270" s="19"/>
      <c r="C270" s="19"/>
      <c r="D270" s="20"/>
      <c r="E270" s="21"/>
      <c r="F270" s="21"/>
    </row>
    <row r="271" spans="2:6">
      <c r="B271" s="19"/>
      <c r="C271" s="19"/>
      <c r="D271" s="20"/>
      <c r="E271" s="21"/>
      <c r="F271" s="21"/>
    </row>
    <row r="272" spans="2:6">
      <c r="B272" s="19"/>
      <c r="C272" s="19"/>
      <c r="D272" s="20"/>
      <c r="E272" s="21"/>
      <c r="F272" s="21"/>
    </row>
    <row r="273" spans="2:6">
      <c r="B273" s="19"/>
      <c r="C273" s="19"/>
      <c r="D273" s="20"/>
      <c r="E273" s="21"/>
      <c r="F273" s="21"/>
    </row>
    <row r="274" spans="2:6">
      <c r="B274" s="19"/>
      <c r="C274" s="19"/>
      <c r="D274" s="20"/>
      <c r="E274" s="21"/>
      <c r="F274" s="21"/>
    </row>
    <row r="275" spans="2:6">
      <c r="B275" s="19"/>
      <c r="C275" s="19"/>
      <c r="D275" s="20"/>
      <c r="E275" s="21"/>
      <c r="F275" s="21"/>
    </row>
    <row r="276" spans="2:6">
      <c r="B276" s="19"/>
      <c r="C276" s="19"/>
      <c r="D276" s="20"/>
      <c r="E276" s="21"/>
      <c r="F276" s="21"/>
    </row>
    <row r="277" spans="2:6">
      <c r="B277" s="19"/>
      <c r="C277" s="19"/>
      <c r="D277" s="20"/>
      <c r="E277" s="21"/>
      <c r="F277" s="21"/>
    </row>
    <row r="278" spans="2:6">
      <c r="B278" s="19"/>
      <c r="C278" s="19"/>
      <c r="D278" s="20"/>
      <c r="E278" s="21"/>
      <c r="F278" s="21"/>
    </row>
    <row r="279" spans="2:6">
      <c r="B279" s="19"/>
      <c r="C279" s="19"/>
      <c r="D279" s="20"/>
      <c r="E279" s="21"/>
      <c r="F279" s="21"/>
    </row>
    <row r="280" spans="2:6">
      <c r="B280" s="19"/>
      <c r="C280" s="19"/>
      <c r="D280" s="20"/>
      <c r="E280" s="21"/>
      <c r="F280" s="21"/>
    </row>
    <row r="281" spans="2:6">
      <c r="B281" s="19"/>
      <c r="C281" s="19"/>
      <c r="D281" s="20"/>
      <c r="E281" s="21"/>
      <c r="F281" s="21"/>
    </row>
    <row r="282" spans="2:6">
      <c r="B282" s="19"/>
      <c r="C282" s="19"/>
      <c r="D282" s="20"/>
      <c r="E282" s="21"/>
      <c r="F282" s="21"/>
    </row>
    <row r="283" spans="2:6">
      <c r="B283" s="19"/>
      <c r="C283" s="19"/>
      <c r="D283" s="20"/>
      <c r="E283" s="21"/>
      <c r="F283" s="21"/>
    </row>
    <row r="284" spans="2:6">
      <c r="B284" s="19"/>
      <c r="C284" s="19"/>
      <c r="D284" s="20"/>
      <c r="E284" s="21"/>
      <c r="F284" s="21"/>
    </row>
    <row r="285" spans="2:6">
      <c r="B285" s="19"/>
      <c r="C285" s="19"/>
      <c r="D285" s="20"/>
      <c r="E285" s="21"/>
      <c r="F285" s="21"/>
    </row>
    <row r="286" spans="2:6">
      <c r="B286" s="19"/>
      <c r="C286" s="19"/>
      <c r="D286" s="20"/>
      <c r="E286" s="21"/>
      <c r="F286" s="21"/>
    </row>
    <row r="287" spans="2:6">
      <c r="B287" s="19"/>
      <c r="C287" s="19"/>
      <c r="D287" s="20"/>
      <c r="E287" s="21"/>
      <c r="F287" s="21"/>
    </row>
    <row r="288" spans="2:6">
      <c r="B288" s="19"/>
      <c r="C288" s="19"/>
      <c r="D288" s="20"/>
      <c r="E288" s="21"/>
      <c r="F288" s="21"/>
    </row>
    <row r="289" spans="2:6">
      <c r="B289" s="19"/>
      <c r="C289" s="19"/>
      <c r="D289" s="20"/>
      <c r="E289" s="21"/>
      <c r="F289" s="21"/>
    </row>
    <row r="290" spans="2:6">
      <c r="B290" s="19"/>
      <c r="C290" s="19"/>
      <c r="D290" s="20"/>
      <c r="E290" s="21"/>
      <c r="F290" s="21"/>
    </row>
    <row r="291" spans="2:6">
      <c r="B291" s="19"/>
      <c r="C291" s="19"/>
      <c r="D291" s="20"/>
      <c r="E291" s="21"/>
      <c r="F291" s="21"/>
    </row>
    <row r="292" spans="2:6">
      <c r="B292" s="19"/>
      <c r="C292" s="19"/>
      <c r="D292" s="20"/>
      <c r="E292" s="21"/>
      <c r="F292" s="21"/>
    </row>
    <row r="293" spans="2:6">
      <c r="B293" s="19"/>
      <c r="C293" s="19"/>
      <c r="D293" s="20"/>
      <c r="E293" s="21"/>
      <c r="F293" s="21"/>
    </row>
    <row r="294" spans="2:6">
      <c r="B294" s="19"/>
      <c r="C294" s="19"/>
      <c r="D294" s="20"/>
      <c r="E294" s="21"/>
      <c r="F294" s="21"/>
    </row>
    <row r="295" spans="2:6">
      <c r="B295" s="19"/>
      <c r="C295" s="19"/>
      <c r="D295" s="20"/>
      <c r="E295" s="21"/>
      <c r="F295" s="21"/>
    </row>
    <row r="296" spans="2:6">
      <c r="B296" s="19"/>
      <c r="C296" s="19"/>
      <c r="D296" s="20"/>
      <c r="E296" s="21"/>
      <c r="F296" s="21"/>
    </row>
    <row r="297" spans="2:6">
      <c r="B297" s="19"/>
      <c r="C297" s="19"/>
      <c r="D297" s="20"/>
      <c r="E297" s="21"/>
      <c r="F297" s="21"/>
    </row>
    <row r="298" spans="2:6">
      <c r="B298" s="19"/>
      <c r="C298" s="19"/>
      <c r="D298" s="20"/>
      <c r="E298" s="21"/>
      <c r="F298" s="21"/>
    </row>
    <row r="299" spans="2:6">
      <c r="B299" s="19"/>
      <c r="C299" s="19"/>
      <c r="D299" s="20"/>
      <c r="E299" s="21"/>
      <c r="F299" s="21"/>
    </row>
    <row r="300" spans="2:6">
      <c r="B300" s="19"/>
      <c r="C300" s="19"/>
      <c r="D300" s="20"/>
      <c r="E300" s="21"/>
      <c r="F300" s="21"/>
    </row>
    <row r="301" spans="2:6">
      <c r="B301" s="19"/>
      <c r="C301" s="19"/>
      <c r="D301" s="20"/>
      <c r="E301" s="21"/>
      <c r="F301" s="21"/>
    </row>
    <row r="302" spans="2:6">
      <c r="B302" s="19"/>
      <c r="C302" s="19"/>
      <c r="D302" s="20"/>
      <c r="E302" s="21"/>
      <c r="F302" s="21"/>
    </row>
    <row r="303" spans="2:6">
      <c r="B303" s="19"/>
      <c r="C303" s="19"/>
      <c r="D303" s="20"/>
      <c r="E303" s="21"/>
      <c r="F303" s="21"/>
    </row>
    <row r="304" spans="2:6">
      <c r="B304" s="19"/>
      <c r="C304" s="19"/>
      <c r="D304" s="20"/>
      <c r="E304" s="21"/>
      <c r="F304" s="21"/>
    </row>
    <row r="305" spans="2:6">
      <c r="B305" s="19"/>
      <c r="C305" s="19"/>
      <c r="D305" s="20"/>
      <c r="E305" s="21"/>
      <c r="F305" s="21"/>
    </row>
    <row r="306" spans="2:6">
      <c r="B306" s="19"/>
      <c r="C306" s="19"/>
      <c r="D306" s="20"/>
      <c r="E306" s="21"/>
      <c r="F306" s="21"/>
    </row>
    <row r="307" spans="2:6">
      <c r="B307" s="19"/>
      <c r="C307" s="19"/>
      <c r="D307" s="20"/>
      <c r="E307" s="21"/>
      <c r="F307" s="21"/>
    </row>
    <row r="308" spans="2:6">
      <c r="B308" s="19"/>
      <c r="C308" s="19"/>
      <c r="D308" s="20"/>
      <c r="E308" s="21"/>
      <c r="F308" s="21"/>
    </row>
    <row r="309" spans="2:6">
      <c r="B309" s="19"/>
      <c r="C309" s="19"/>
      <c r="D309" s="20"/>
      <c r="E309" s="21"/>
      <c r="F309" s="21"/>
    </row>
    <row r="310" spans="2:6">
      <c r="B310" s="19"/>
      <c r="C310" s="19"/>
      <c r="D310" s="20"/>
      <c r="E310" s="21"/>
      <c r="F310" s="21"/>
    </row>
    <row r="311" spans="2:6">
      <c r="B311" s="19"/>
      <c r="C311" s="19"/>
      <c r="D311" s="20"/>
      <c r="E311" s="21"/>
      <c r="F311" s="21"/>
    </row>
    <row r="312" spans="2:6">
      <c r="B312" s="19"/>
      <c r="C312" s="19"/>
      <c r="D312" s="20"/>
      <c r="E312" s="21"/>
      <c r="F312" s="21"/>
    </row>
    <row r="313" spans="2:6">
      <c r="B313" s="19"/>
      <c r="C313" s="19"/>
      <c r="D313" s="20"/>
      <c r="E313" s="21"/>
      <c r="F313" s="21"/>
    </row>
    <row r="314" spans="2:6">
      <c r="B314" s="19"/>
      <c r="C314" s="19"/>
      <c r="D314" s="20"/>
      <c r="E314" s="21"/>
      <c r="F314" s="21"/>
    </row>
    <row r="315" spans="2:6">
      <c r="B315" s="19"/>
      <c r="C315" s="19"/>
      <c r="D315" s="20"/>
      <c r="E315" s="21"/>
      <c r="F315" s="21"/>
    </row>
    <row r="316" spans="2:6">
      <c r="B316" s="19"/>
      <c r="C316" s="19"/>
      <c r="D316" s="20"/>
      <c r="E316" s="21"/>
      <c r="F316" s="21"/>
    </row>
    <row r="317" spans="2:6">
      <c r="B317" s="19"/>
      <c r="C317" s="19"/>
      <c r="D317" s="20"/>
      <c r="E317" s="21"/>
      <c r="F317" s="21"/>
    </row>
    <row r="318" spans="2:6">
      <c r="B318" s="19"/>
      <c r="C318" s="19"/>
      <c r="D318" s="20"/>
      <c r="E318" s="21"/>
      <c r="F318" s="21"/>
    </row>
    <row r="319" spans="2:6">
      <c r="B319" s="19"/>
      <c r="C319" s="19"/>
      <c r="D319" s="20"/>
      <c r="E319" s="21"/>
      <c r="F319" s="21"/>
    </row>
    <row r="320" spans="2:6">
      <c r="B320" s="19"/>
      <c r="C320" s="19"/>
      <c r="D320" s="20"/>
      <c r="E320" s="21"/>
      <c r="F320" s="21"/>
    </row>
    <row r="321" spans="2:6">
      <c r="B321" s="19"/>
      <c r="C321" s="19"/>
      <c r="D321" s="20"/>
      <c r="E321" s="21"/>
      <c r="F321" s="21"/>
    </row>
    <row r="322" spans="2:6">
      <c r="B322" s="19"/>
      <c r="C322" s="19"/>
      <c r="D322" s="20"/>
      <c r="E322" s="21"/>
      <c r="F322" s="21"/>
    </row>
    <row r="323" spans="2:6">
      <c r="B323" s="19"/>
      <c r="C323" s="19"/>
      <c r="D323" s="20"/>
      <c r="E323" s="21"/>
      <c r="F323" s="21"/>
    </row>
    <row r="324" spans="2:6">
      <c r="B324" s="19"/>
      <c r="C324" s="19"/>
      <c r="D324" s="20"/>
      <c r="E324" s="21"/>
      <c r="F324" s="21"/>
    </row>
    <row r="325" spans="2:6">
      <c r="B325" s="19"/>
      <c r="C325" s="19"/>
      <c r="D325" s="20"/>
      <c r="E325" s="21"/>
      <c r="F325" s="21"/>
    </row>
    <row r="326" spans="2:6">
      <c r="B326" s="19"/>
      <c r="C326" s="19"/>
      <c r="D326" s="20"/>
      <c r="E326" s="21"/>
      <c r="F326" s="21"/>
    </row>
    <row r="327" spans="2:6">
      <c r="B327" s="19"/>
      <c r="C327" s="19"/>
      <c r="D327" s="20"/>
      <c r="E327" s="21"/>
      <c r="F327" s="21"/>
    </row>
    <row r="328" spans="2:6">
      <c r="B328" s="19"/>
      <c r="C328" s="19"/>
      <c r="D328" s="20"/>
      <c r="E328" s="21"/>
      <c r="F328" s="21"/>
    </row>
    <row r="329" spans="2:6">
      <c r="B329" s="19"/>
      <c r="C329" s="19"/>
      <c r="D329" s="20"/>
      <c r="E329" s="21"/>
      <c r="F329" s="21"/>
    </row>
    <row r="330" spans="2:6">
      <c r="B330" s="19"/>
      <c r="C330" s="19"/>
      <c r="D330" s="20"/>
      <c r="E330" s="21"/>
      <c r="F330" s="21"/>
    </row>
    <row r="331" spans="2:6">
      <c r="B331" s="19"/>
      <c r="C331" s="19"/>
      <c r="D331" s="20"/>
      <c r="E331" s="21"/>
      <c r="F331" s="21"/>
    </row>
    <row r="332" spans="2:6">
      <c r="B332" s="19"/>
      <c r="C332" s="19"/>
      <c r="D332" s="20"/>
      <c r="E332" s="21"/>
      <c r="F332" s="21"/>
    </row>
    <row r="333" spans="2:6">
      <c r="B333" s="19"/>
      <c r="C333" s="19"/>
      <c r="D333" s="20"/>
      <c r="E333" s="21"/>
      <c r="F333" s="21"/>
    </row>
    <row r="334" spans="2:6">
      <c r="B334" s="19"/>
      <c r="C334" s="19"/>
      <c r="D334" s="20"/>
      <c r="E334" s="21"/>
      <c r="F334" s="21"/>
    </row>
    <row r="335" spans="2:6">
      <c r="B335" s="19"/>
      <c r="C335" s="19"/>
      <c r="D335" s="20"/>
      <c r="E335" s="21"/>
      <c r="F335" s="21"/>
    </row>
    <row r="336" spans="2:6">
      <c r="B336" s="19"/>
      <c r="C336" s="19"/>
      <c r="D336" s="20"/>
      <c r="E336" s="21"/>
      <c r="F336" s="21"/>
    </row>
    <row r="337" spans="2:6">
      <c r="B337" s="19"/>
      <c r="C337" s="19"/>
      <c r="D337" s="20"/>
      <c r="E337" s="21"/>
      <c r="F337" s="21"/>
    </row>
    <row r="338" spans="2:6">
      <c r="B338" s="19"/>
      <c r="C338" s="19"/>
      <c r="D338" s="20"/>
      <c r="E338" s="21"/>
      <c r="F338" s="21"/>
    </row>
    <row r="339" spans="2:6">
      <c r="B339" s="19"/>
      <c r="C339" s="19"/>
      <c r="D339" s="20"/>
      <c r="E339" s="21"/>
      <c r="F339" s="21"/>
    </row>
    <row r="340" spans="2:6">
      <c r="B340" s="19"/>
      <c r="C340" s="19"/>
      <c r="D340" s="20"/>
      <c r="E340" s="21"/>
      <c r="F340" s="21"/>
    </row>
    <row r="341" spans="2:6">
      <c r="B341" s="19"/>
      <c r="C341" s="19"/>
      <c r="D341" s="20"/>
      <c r="E341" s="21"/>
      <c r="F341" s="21"/>
    </row>
    <row r="342" spans="2:6">
      <c r="B342" s="19"/>
      <c r="C342" s="19"/>
      <c r="D342" s="20"/>
      <c r="E342" s="21"/>
      <c r="F342" s="21"/>
    </row>
    <row r="343" spans="2:6">
      <c r="B343" s="19"/>
      <c r="C343" s="19"/>
      <c r="D343" s="20"/>
      <c r="E343" s="21"/>
      <c r="F343" s="21"/>
    </row>
    <row r="344" spans="2:6">
      <c r="B344" s="19"/>
      <c r="C344" s="19"/>
      <c r="D344" s="20"/>
      <c r="E344" s="21"/>
      <c r="F344" s="21"/>
    </row>
    <row r="345" spans="2:6">
      <c r="B345" s="19"/>
      <c r="C345" s="19"/>
      <c r="D345" s="20"/>
      <c r="E345" s="21"/>
      <c r="F345" s="21"/>
    </row>
    <row r="346" spans="2:6">
      <c r="B346" s="19"/>
      <c r="C346" s="19"/>
      <c r="D346" s="20"/>
      <c r="E346" s="21"/>
      <c r="F346" s="21"/>
    </row>
    <row r="347" spans="2:6">
      <c r="B347" s="19"/>
      <c r="C347" s="19"/>
      <c r="D347" s="20"/>
      <c r="E347" s="21"/>
      <c r="F347" s="21"/>
    </row>
    <row r="348" spans="2:6">
      <c r="B348" s="19"/>
      <c r="C348" s="19"/>
      <c r="D348" s="20"/>
      <c r="E348" s="21"/>
      <c r="F348" s="21"/>
    </row>
    <row r="349" spans="2:6">
      <c r="B349" s="19"/>
      <c r="C349" s="19"/>
      <c r="D349" s="20"/>
      <c r="E349" s="21"/>
      <c r="F349" s="21"/>
    </row>
    <row r="350" spans="2:6">
      <c r="B350" s="19"/>
      <c r="C350" s="19"/>
      <c r="D350" s="20"/>
      <c r="E350" s="21"/>
      <c r="F350" s="21"/>
    </row>
    <row r="351" spans="2:6">
      <c r="B351" s="19"/>
      <c r="C351" s="19"/>
      <c r="D351" s="20"/>
      <c r="E351" s="21"/>
      <c r="F351" s="21"/>
    </row>
    <row r="352" spans="2:6">
      <c r="B352" s="19"/>
      <c r="C352" s="19"/>
      <c r="D352" s="20"/>
      <c r="E352" s="21"/>
      <c r="F352" s="21"/>
    </row>
    <row r="353" spans="2:6">
      <c r="B353" s="19"/>
      <c r="C353" s="19"/>
      <c r="D353" s="20"/>
      <c r="E353" s="21"/>
      <c r="F353" s="21"/>
    </row>
    <row r="354" spans="2:6">
      <c r="B354" s="19"/>
      <c r="C354" s="19"/>
      <c r="D354" s="20"/>
      <c r="E354" s="21"/>
      <c r="F354" s="21"/>
    </row>
    <row r="355" spans="2:6">
      <c r="B355" s="19"/>
      <c r="C355" s="19"/>
      <c r="D355" s="20"/>
      <c r="E355" s="21"/>
      <c r="F355" s="21"/>
    </row>
    <row r="356" spans="2:6">
      <c r="B356" s="19"/>
      <c r="C356" s="19"/>
      <c r="D356" s="20"/>
      <c r="E356" s="21"/>
      <c r="F356" s="21"/>
    </row>
    <row r="357" spans="2:6">
      <c r="B357" s="19"/>
      <c r="C357" s="19"/>
      <c r="D357" s="20"/>
      <c r="E357" s="21"/>
      <c r="F357" s="21"/>
    </row>
    <row r="358" spans="2:6">
      <c r="B358" s="19"/>
      <c r="C358" s="19"/>
      <c r="D358" s="20"/>
      <c r="E358" s="21"/>
      <c r="F358" s="21"/>
    </row>
    <row r="359" spans="2:6">
      <c r="B359" s="19"/>
      <c r="C359" s="19"/>
      <c r="D359" s="20"/>
      <c r="E359" s="21"/>
      <c r="F359" s="21"/>
    </row>
    <row r="360" spans="2:6">
      <c r="B360" s="19"/>
      <c r="C360" s="19"/>
      <c r="D360" s="20"/>
      <c r="E360" s="21"/>
      <c r="F360" s="21"/>
    </row>
    <row r="361" spans="2:6">
      <c r="B361" s="19"/>
      <c r="C361" s="19"/>
      <c r="D361" s="20"/>
      <c r="E361" s="21"/>
      <c r="F361" s="21"/>
    </row>
    <row r="362" spans="2:6">
      <c r="B362" s="19"/>
      <c r="C362" s="19"/>
      <c r="D362" s="20"/>
      <c r="E362" s="21"/>
      <c r="F362" s="21"/>
    </row>
    <row r="363" spans="2:6">
      <c r="B363" s="19"/>
      <c r="C363" s="19"/>
      <c r="D363" s="20"/>
      <c r="E363" s="21"/>
      <c r="F363" s="21"/>
    </row>
    <row r="364" spans="2:6">
      <c r="B364" s="19"/>
      <c r="C364" s="19"/>
      <c r="D364" s="20"/>
      <c r="E364" s="21"/>
      <c r="F364" s="21"/>
    </row>
    <row r="365" spans="2:6">
      <c r="B365" s="19"/>
      <c r="C365" s="19"/>
      <c r="D365" s="20"/>
      <c r="E365" s="21"/>
      <c r="F365" s="21"/>
    </row>
    <row r="366" spans="2:6">
      <c r="B366" s="19"/>
      <c r="C366" s="19"/>
      <c r="D366" s="20"/>
      <c r="E366" s="21"/>
      <c r="F366" s="21"/>
    </row>
    <row r="367" spans="2:6">
      <c r="B367" s="19"/>
      <c r="C367" s="19"/>
      <c r="D367" s="20"/>
      <c r="E367" s="21"/>
      <c r="F367" s="21"/>
    </row>
    <row r="368" spans="2:6">
      <c r="B368" s="19"/>
      <c r="C368" s="19"/>
      <c r="D368" s="20"/>
      <c r="E368" s="21"/>
      <c r="F368" s="21"/>
    </row>
    <row r="369" spans="2:6">
      <c r="B369" s="19"/>
      <c r="C369" s="19"/>
      <c r="D369" s="20"/>
      <c r="E369" s="21"/>
      <c r="F369" s="21"/>
    </row>
    <row r="370" spans="2:6">
      <c r="B370" s="19"/>
      <c r="C370" s="19"/>
      <c r="D370" s="20"/>
      <c r="E370" s="21"/>
      <c r="F370" s="21"/>
    </row>
    <row r="371" spans="2:6">
      <c r="B371" s="19"/>
      <c r="C371" s="19"/>
      <c r="D371" s="20"/>
      <c r="E371" s="21"/>
      <c r="F371" s="21"/>
    </row>
    <row r="372" spans="2:6">
      <c r="B372" s="19"/>
      <c r="C372" s="19"/>
      <c r="D372" s="20"/>
      <c r="E372" s="21"/>
      <c r="F372" s="21"/>
    </row>
    <row r="373" spans="2:6">
      <c r="B373" s="19"/>
      <c r="C373" s="19"/>
      <c r="D373" s="20"/>
      <c r="E373" s="21"/>
      <c r="F373" s="21"/>
    </row>
    <row r="374" spans="2:6">
      <c r="B374" s="19"/>
      <c r="C374" s="19"/>
      <c r="D374" s="20"/>
      <c r="E374" s="21"/>
      <c r="F374" s="21"/>
    </row>
    <row r="375" spans="2:6">
      <c r="B375" s="19"/>
      <c r="C375" s="19"/>
      <c r="D375" s="20"/>
      <c r="E375" s="21"/>
      <c r="F375" s="21"/>
    </row>
    <row r="376" spans="2:6">
      <c r="B376" s="19"/>
      <c r="C376" s="19"/>
      <c r="D376" s="20"/>
      <c r="E376" s="21"/>
      <c r="F376" s="21"/>
    </row>
    <row r="377" spans="2:6">
      <c r="B377" s="19"/>
      <c r="C377" s="19"/>
      <c r="D377" s="20"/>
      <c r="E377" s="21"/>
      <c r="F377" s="21"/>
    </row>
    <row r="378" spans="2:6">
      <c r="B378" s="19"/>
      <c r="C378" s="19"/>
      <c r="D378" s="20"/>
      <c r="E378" s="21"/>
      <c r="F378" s="21"/>
    </row>
    <row r="379" spans="2:6">
      <c r="B379" s="19"/>
      <c r="C379" s="19"/>
      <c r="D379" s="20"/>
      <c r="E379" s="21"/>
      <c r="F379" s="21"/>
    </row>
    <row r="380" spans="2:6">
      <c r="B380" s="19"/>
      <c r="C380" s="19"/>
      <c r="D380" s="20"/>
      <c r="E380" s="21"/>
      <c r="F380" s="21"/>
    </row>
    <row r="381" spans="2:6">
      <c r="B381" s="19"/>
      <c r="C381" s="19"/>
      <c r="D381" s="20"/>
      <c r="E381" s="21"/>
      <c r="F381" s="21"/>
    </row>
    <row r="382" spans="2:6">
      <c r="B382" s="19"/>
      <c r="C382" s="19"/>
      <c r="D382" s="20"/>
      <c r="E382" s="21"/>
      <c r="F382" s="21"/>
    </row>
    <row r="383" spans="2:6">
      <c r="B383" s="19"/>
      <c r="C383" s="19"/>
      <c r="D383" s="20"/>
      <c r="E383" s="21"/>
      <c r="F383" s="21"/>
    </row>
    <row r="384" spans="2:6">
      <c r="B384" s="19"/>
      <c r="C384" s="19"/>
      <c r="D384" s="20"/>
      <c r="E384" s="21"/>
      <c r="F384" s="21"/>
    </row>
    <row r="385" spans="2:6">
      <c r="B385" s="19"/>
      <c r="C385" s="19"/>
      <c r="D385" s="20"/>
      <c r="E385" s="21"/>
      <c r="F385" s="21"/>
    </row>
    <row r="386" spans="2:6">
      <c r="B386" s="19"/>
      <c r="C386" s="19"/>
      <c r="D386" s="20"/>
      <c r="E386" s="21"/>
      <c r="F386" s="21"/>
    </row>
    <row r="387" spans="2:6">
      <c r="B387" s="19"/>
      <c r="C387" s="19"/>
      <c r="D387" s="20"/>
      <c r="E387" s="21"/>
      <c r="F387" s="21"/>
    </row>
    <row r="388" spans="2:6">
      <c r="B388" s="19"/>
      <c r="C388" s="19"/>
      <c r="D388" s="20"/>
      <c r="E388" s="21"/>
      <c r="F388" s="21"/>
    </row>
    <row r="389" spans="2:6">
      <c r="B389" s="19"/>
      <c r="C389" s="19"/>
      <c r="D389" s="20"/>
      <c r="E389" s="21"/>
      <c r="F389" s="21"/>
    </row>
    <row r="390" spans="2:6">
      <c r="B390" s="19"/>
      <c r="C390" s="19"/>
      <c r="D390" s="20"/>
      <c r="E390" s="21"/>
      <c r="F390" s="21"/>
    </row>
    <row r="391" spans="2:6">
      <c r="B391" s="19"/>
      <c r="C391" s="19"/>
      <c r="D391" s="20"/>
      <c r="E391" s="21"/>
      <c r="F391" s="21"/>
    </row>
    <row r="392" spans="2:6">
      <c r="B392" s="19"/>
      <c r="C392" s="19"/>
      <c r="D392" s="20"/>
      <c r="E392" s="21"/>
      <c r="F392" s="21"/>
    </row>
    <row r="393" spans="2:6">
      <c r="B393" s="19"/>
      <c r="C393" s="19"/>
      <c r="D393" s="20"/>
      <c r="E393" s="21"/>
      <c r="F393" s="21"/>
    </row>
    <row r="394" spans="2:6">
      <c r="B394" s="19"/>
      <c r="C394" s="19"/>
      <c r="D394" s="20"/>
      <c r="E394" s="21"/>
      <c r="F394" s="21"/>
    </row>
    <row r="395" spans="2:6">
      <c r="B395" s="19"/>
      <c r="C395" s="19"/>
      <c r="D395" s="20"/>
      <c r="E395" s="21"/>
      <c r="F395" s="21"/>
    </row>
    <row r="396" spans="2:6">
      <c r="B396" s="19"/>
      <c r="C396" s="19"/>
      <c r="D396" s="20"/>
      <c r="E396" s="21"/>
      <c r="F396" s="21"/>
    </row>
    <row r="397" spans="2:6">
      <c r="B397" s="19"/>
      <c r="C397" s="19"/>
      <c r="D397" s="20"/>
      <c r="E397" s="21"/>
      <c r="F397" s="21"/>
    </row>
    <row r="398" spans="2:6">
      <c r="B398" s="19"/>
      <c r="C398" s="19"/>
      <c r="D398" s="20"/>
      <c r="E398" s="21"/>
      <c r="F398" s="21"/>
    </row>
    <row r="399" spans="2:6">
      <c r="B399" s="19"/>
      <c r="C399" s="19"/>
      <c r="D399" s="20"/>
      <c r="E399" s="21"/>
      <c r="F399" s="21"/>
    </row>
    <row r="400" spans="2:6">
      <c r="B400" s="19"/>
      <c r="C400" s="19"/>
      <c r="D400" s="20"/>
      <c r="E400" s="21"/>
      <c r="F400" s="21"/>
    </row>
    <row r="401" spans="2:6">
      <c r="B401" s="19"/>
      <c r="C401" s="19"/>
      <c r="D401" s="20"/>
      <c r="E401" s="21"/>
      <c r="F401" s="21"/>
    </row>
    <row r="402" spans="2:6">
      <c r="B402" s="19"/>
      <c r="C402" s="19"/>
      <c r="D402" s="20"/>
      <c r="E402" s="21"/>
      <c r="F402" s="21"/>
    </row>
    <row r="403" spans="2:6">
      <c r="B403" s="19"/>
      <c r="C403" s="19"/>
      <c r="D403" s="20"/>
      <c r="E403" s="21"/>
      <c r="F403" s="21"/>
    </row>
    <row r="404" spans="2:6">
      <c r="B404" s="19"/>
      <c r="C404" s="19"/>
      <c r="D404" s="20"/>
      <c r="E404" s="21"/>
      <c r="F404" s="21"/>
    </row>
    <row r="405" spans="2:6">
      <c r="B405" s="19"/>
      <c r="C405" s="19"/>
      <c r="D405" s="20"/>
      <c r="E405" s="21"/>
      <c r="F405" s="21"/>
    </row>
    <row r="406" spans="2:6">
      <c r="B406" s="19"/>
      <c r="C406" s="19"/>
      <c r="D406" s="20"/>
      <c r="E406" s="21"/>
      <c r="F406" s="21"/>
    </row>
    <row r="407" spans="2:6">
      <c r="B407" s="19"/>
      <c r="C407" s="19"/>
      <c r="D407" s="20"/>
      <c r="E407" s="21"/>
      <c r="F407" s="21"/>
    </row>
    <row r="408" spans="2:6">
      <c r="B408" s="19"/>
      <c r="C408" s="19"/>
      <c r="D408" s="20"/>
      <c r="E408" s="21"/>
      <c r="F408" s="21"/>
    </row>
    <row r="409" spans="2:6">
      <c r="B409" s="19"/>
      <c r="C409" s="19"/>
      <c r="D409" s="20"/>
      <c r="E409" s="21"/>
      <c r="F409" s="21"/>
    </row>
    <row r="410" spans="2:6">
      <c r="B410" s="19"/>
      <c r="C410" s="19"/>
      <c r="D410" s="20"/>
      <c r="E410" s="21"/>
      <c r="F410" s="21"/>
    </row>
    <row r="411" spans="2:6">
      <c r="B411" s="19"/>
      <c r="C411" s="19"/>
      <c r="D411" s="20"/>
      <c r="E411" s="21"/>
      <c r="F411" s="21"/>
    </row>
    <row r="412" spans="2:6">
      <c r="B412" s="19"/>
      <c r="C412" s="19"/>
      <c r="D412" s="20"/>
      <c r="E412" s="21"/>
      <c r="F412" s="21"/>
    </row>
    <row r="413" spans="2:6">
      <c r="B413" s="19"/>
      <c r="C413" s="19"/>
      <c r="D413" s="20"/>
      <c r="E413" s="21"/>
      <c r="F413" s="21"/>
    </row>
    <row r="414" spans="2:6">
      <c r="B414" s="19"/>
      <c r="C414" s="19"/>
      <c r="D414" s="20"/>
      <c r="E414" s="21"/>
      <c r="F414" s="21"/>
    </row>
    <row r="415" spans="2:6">
      <c r="B415" s="19"/>
      <c r="C415" s="19"/>
      <c r="D415" s="20"/>
      <c r="E415" s="21"/>
      <c r="F415" s="21"/>
    </row>
    <row r="416" spans="2:6">
      <c r="B416" s="19"/>
      <c r="C416" s="19"/>
      <c r="D416" s="20"/>
      <c r="E416" s="21"/>
      <c r="F416" s="21"/>
    </row>
    <row r="417" spans="2:6">
      <c r="B417" s="19"/>
      <c r="C417" s="19"/>
      <c r="D417" s="20"/>
      <c r="E417" s="21"/>
      <c r="F417" s="21"/>
    </row>
    <row r="418" spans="2:6">
      <c r="B418" s="19"/>
      <c r="C418" s="19"/>
      <c r="D418" s="20"/>
      <c r="E418" s="21"/>
      <c r="F418" s="21"/>
    </row>
    <row r="419" spans="2:6">
      <c r="B419" s="19"/>
      <c r="C419" s="19"/>
      <c r="D419" s="20"/>
      <c r="E419" s="21"/>
      <c r="F419" s="21"/>
    </row>
    <row r="420" spans="2:6">
      <c r="B420" s="19"/>
      <c r="C420" s="19"/>
      <c r="D420" s="20"/>
      <c r="E420" s="21"/>
      <c r="F420" s="21"/>
    </row>
    <row r="421" spans="2:6">
      <c r="B421" s="19"/>
      <c r="C421" s="19"/>
      <c r="D421" s="20"/>
      <c r="E421" s="21"/>
      <c r="F421" s="21"/>
    </row>
    <row r="422" spans="2:6">
      <c r="B422" s="19"/>
      <c r="C422" s="19"/>
      <c r="D422" s="20"/>
      <c r="E422" s="21"/>
      <c r="F422" s="21"/>
    </row>
    <row r="423" spans="2:6">
      <c r="B423" s="19"/>
      <c r="C423" s="19"/>
      <c r="D423" s="20"/>
      <c r="E423" s="21"/>
      <c r="F423" s="21"/>
    </row>
    <row r="424" spans="2:6">
      <c r="B424" s="19"/>
      <c r="C424" s="19"/>
      <c r="D424" s="20"/>
      <c r="E424" s="21"/>
      <c r="F424" s="21"/>
    </row>
    <row r="425" spans="2:6">
      <c r="B425" s="19"/>
      <c r="C425" s="19"/>
      <c r="D425" s="20"/>
      <c r="E425" s="21"/>
      <c r="F425" s="21"/>
    </row>
    <row r="426" spans="2:6">
      <c r="B426" s="19"/>
      <c r="C426" s="19"/>
      <c r="D426" s="20"/>
      <c r="E426" s="21"/>
      <c r="F426" s="21"/>
    </row>
    <row r="427" spans="2:6">
      <c r="B427" s="19"/>
      <c r="C427" s="19"/>
      <c r="D427" s="20"/>
      <c r="E427" s="21"/>
      <c r="F427" s="21"/>
    </row>
    <row r="428" spans="2:6">
      <c r="B428" s="19"/>
      <c r="C428" s="19"/>
      <c r="D428" s="20"/>
      <c r="E428" s="21"/>
      <c r="F428" s="21"/>
    </row>
    <row r="429" spans="2:6">
      <c r="B429" s="19"/>
      <c r="C429" s="19"/>
      <c r="D429" s="20"/>
      <c r="E429" s="21"/>
      <c r="F429" s="21"/>
    </row>
    <row r="430" spans="2:6">
      <c r="B430" s="19"/>
      <c r="C430" s="19"/>
      <c r="D430" s="20"/>
      <c r="E430" s="21"/>
      <c r="F430" s="21"/>
    </row>
    <row r="431" spans="2:6">
      <c r="B431" s="19"/>
      <c r="C431" s="19"/>
      <c r="D431" s="20"/>
      <c r="E431" s="21"/>
      <c r="F431" s="21"/>
    </row>
    <row r="432" spans="2:6">
      <c r="B432" s="19"/>
      <c r="C432" s="19"/>
      <c r="D432" s="20"/>
      <c r="E432" s="21"/>
      <c r="F432" s="21"/>
    </row>
    <row r="433" spans="2:6">
      <c r="B433" s="19"/>
      <c r="C433" s="19"/>
      <c r="D433" s="20"/>
      <c r="E433" s="21"/>
      <c r="F433" s="21"/>
    </row>
    <row r="434" spans="2:6">
      <c r="B434" s="19"/>
      <c r="C434" s="19"/>
      <c r="D434" s="20"/>
      <c r="E434" s="21"/>
      <c r="F434" s="21"/>
    </row>
    <row r="435" spans="2:6">
      <c r="B435" s="19"/>
      <c r="C435" s="19"/>
      <c r="D435" s="20"/>
      <c r="E435" s="21"/>
      <c r="F435" s="21"/>
    </row>
    <row r="436" spans="2:6">
      <c r="B436" s="19"/>
      <c r="C436" s="19"/>
      <c r="D436" s="20"/>
      <c r="E436" s="21"/>
      <c r="F436" s="21"/>
    </row>
    <row r="437" spans="2:6">
      <c r="B437" s="19"/>
      <c r="C437" s="19"/>
      <c r="D437" s="20"/>
      <c r="E437" s="21"/>
      <c r="F437" s="21"/>
    </row>
    <row r="438" spans="2:6">
      <c r="B438" s="19"/>
      <c r="C438" s="19"/>
      <c r="D438" s="20"/>
      <c r="E438" s="21"/>
      <c r="F438" s="21"/>
    </row>
    <row r="439" spans="2:6">
      <c r="B439" s="19"/>
      <c r="C439" s="19"/>
      <c r="D439" s="20"/>
      <c r="E439" s="21"/>
      <c r="F439" s="21"/>
    </row>
    <row r="440" spans="2:6">
      <c r="B440" s="19"/>
      <c r="C440" s="19"/>
      <c r="D440" s="20"/>
      <c r="E440" s="21"/>
      <c r="F440" s="21"/>
    </row>
    <row r="441" spans="2:6">
      <c r="B441" s="19"/>
      <c r="C441" s="19"/>
      <c r="D441" s="20"/>
      <c r="E441" s="21"/>
      <c r="F441" s="21"/>
    </row>
    <row r="442" spans="2:6">
      <c r="B442" s="19"/>
      <c r="C442" s="19"/>
      <c r="D442" s="20"/>
      <c r="E442" s="21"/>
      <c r="F442" s="21"/>
    </row>
    <row r="443" spans="2:6">
      <c r="B443" s="19"/>
      <c r="C443" s="19"/>
      <c r="D443" s="20"/>
      <c r="E443" s="21"/>
      <c r="F443" s="21"/>
    </row>
    <row r="444" spans="2:6">
      <c r="B444" s="19"/>
      <c r="C444" s="19"/>
      <c r="D444" s="20"/>
      <c r="E444" s="21"/>
      <c r="F444" s="21"/>
    </row>
    <row r="445" spans="2:6">
      <c r="B445" s="19"/>
      <c r="C445" s="19"/>
      <c r="D445" s="20"/>
      <c r="E445" s="21"/>
      <c r="F445" s="21"/>
    </row>
    <row r="446" spans="2:6">
      <c r="B446" s="19"/>
      <c r="C446" s="19"/>
      <c r="D446" s="20"/>
      <c r="E446" s="21"/>
      <c r="F446" s="21"/>
    </row>
    <row r="447" spans="2:6">
      <c r="B447" s="19"/>
      <c r="C447" s="19"/>
      <c r="D447" s="20"/>
      <c r="E447" s="21"/>
      <c r="F447" s="21"/>
    </row>
    <row r="448" spans="2:6">
      <c r="B448" s="19"/>
      <c r="C448" s="19"/>
      <c r="D448" s="20"/>
      <c r="E448" s="21"/>
      <c r="F448" s="21"/>
    </row>
    <row r="449" spans="2:6">
      <c r="B449" s="19"/>
      <c r="C449" s="19"/>
      <c r="D449" s="20"/>
      <c r="E449" s="21"/>
      <c r="F449" s="21"/>
    </row>
    <row r="450" spans="2:6">
      <c r="B450" s="19"/>
      <c r="C450" s="19"/>
      <c r="D450" s="20"/>
      <c r="E450" s="21"/>
      <c r="F450" s="21"/>
    </row>
    <row r="451" spans="2:6">
      <c r="B451" s="19"/>
      <c r="C451" s="19"/>
      <c r="D451" s="20"/>
      <c r="E451" s="21"/>
      <c r="F451" s="21"/>
    </row>
    <row r="452" spans="2:6">
      <c r="B452" s="19"/>
      <c r="C452" s="19"/>
      <c r="D452" s="20"/>
      <c r="E452" s="21"/>
      <c r="F452" s="21"/>
    </row>
    <row r="453" spans="2:6">
      <c r="B453" s="19"/>
      <c r="C453" s="19"/>
      <c r="D453" s="20"/>
      <c r="E453" s="21"/>
      <c r="F453" s="21"/>
    </row>
    <row r="454" spans="2:6">
      <c r="B454" s="19"/>
      <c r="C454" s="19"/>
      <c r="D454" s="20"/>
      <c r="E454" s="21"/>
      <c r="F454" s="21"/>
    </row>
    <row r="455" spans="2:6">
      <c r="B455" s="19"/>
      <c r="C455" s="19"/>
      <c r="D455" s="20"/>
      <c r="E455" s="21"/>
      <c r="F455" s="21"/>
    </row>
    <row r="456" spans="2:6">
      <c r="B456" s="19"/>
      <c r="C456" s="19"/>
      <c r="D456" s="20"/>
      <c r="E456" s="21"/>
      <c r="F456" s="21"/>
    </row>
    <row r="457" spans="2:6">
      <c r="B457" s="19"/>
      <c r="C457" s="19"/>
      <c r="D457" s="20"/>
      <c r="E457" s="21"/>
      <c r="F457" s="21"/>
    </row>
    <row r="458" spans="2:6">
      <c r="B458" s="19"/>
      <c r="C458" s="19"/>
      <c r="D458" s="20"/>
      <c r="E458" s="21"/>
      <c r="F458" s="21"/>
    </row>
    <row r="459" spans="2:6">
      <c r="B459" s="19"/>
      <c r="C459" s="19"/>
      <c r="D459" s="20"/>
      <c r="E459" s="21"/>
      <c r="F459" s="21"/>
    </row>
    <row r="460" spans="2:6">
      <c r="B460" s="19"/>
      <c r="C460" s="19"/>
      <c r="D460" s="20"/>
      <c r="E460" s="21"/>
      <c r="F460" s="21"/>
    </row>
    <row r="461" spans="2:6">
      <c r="B461" s="19"/>
      <c r="C461" s="19"/>
      <c r="D461" s="20"/>
      <c r="E461" s="21"/>
      <c r="F461" s="21"/>
    </row>
    <row r="462" spans="2:6">
      <c r="B462" s="19"/>
      <c r="C462" s="19"/>
      <c r="D462" s="20"/>
      <c r="E462" s="21"/>
      <c r="F462" s="21"/>
    </row>
    <row r="463" spans="2:6">
      <c r="B463" s="19"/>
      <c r="C463" s="19"/>
      <c r="D463" s="20"/>
      <c r="E463" s="21"/>
      <c r="F463" s="21"/>
    </row>
    <row r="464" spans="2:6">
      <c r="B464" s="19"/>
      <c r="C464" s="19"/>
      <c r="D464" s="20"/>
      <c r="E464" s="21"/>
      <c r="F464" s="21"/>
    </row>
    <row r="465" spans="2:6">
      <c r="B465" s="19"/>
      <c r="C465" s="19"/>
      <c r="D465" s="20"/>
      <c r="E465" s="21"/>
      <c r="F465" s="21"/>
    </row>
    <row r="466" spans="2:6">
      <c r="B466" s="19"/>
      <c r="C466" s="19"/>
      <c r="D466" s="20"/>
      <c r="E466" s="21"/>
      <c r="F466" s="21"/>
    </row>
    <row r="467" spans="2:6">
      <c r="B467" s="19"/>
      <c r="C467" s="19"/>
      <c r="D467" s="20"/>
      <c r="E467" s="21"/>
      <c r="F467" s="21"/>
    </row>
    <row r="468" spans="2:6">
      <c r="B468" s="19"/>
      <c r="C468" s="19"/>
      <c r="D468" s="20"/>
      <c r="E468" s="21"/>
      <c r="F468" s="21"/>
    </row>
    <row r="469" spans="2:6">
      <c r="B469" s="19"/>
      <c r="C469" s="19"/>
      <c r="D469" s="20"/>
      <c r="E469" s="21"/>
      <c r="F469" s="21"/>
    </row>
    <row r="470" spans="2:6">
      <c r="B470" s="19"/>
      <c r="C470" s="19"/>
      <c r="D470" s="20"/>
      <c r="E470" s="21"/>
      <c r="F470" s="21"/>
    </row>
    <row r="471" spans="2:6">
      <c r="B471" s="19"/>
      <c r="C471" s="19"/>
      <c r="D471" s="20"/>
      <c r="E471" s="21"/>
      <c r="F471" s="21"/>
    </row>
    <row r="472" spans="2:6">
      <c r="B472" s="19"/>
      <c r="C472" s="19"/>
      <c r="D472" s="20"/>
      <c r="E472" s="21"/>
      <c r="F472" s="21"/>
    </row>
    <row r="473" spans="2:6">
      <c r="B473" s="19"/>
      <c r="C473" s="19"/>
      <c r="D473" s="20"/>
      <c r="E473" s="21"/>
      <c r="F473" s="21"/>
    </row>
    <row r="474" spans="2:6">
      <c r="B474" s="19"/>
      <c r="C474" s="19"/>
      <c r="D474" s="20"/>
      <c r="E474" s="21"/>
      <c r="F474" s="21"/>
    </row>
    <row r="475" spans="2:6">
      <c r="B475" s="19"/>
      <c r="C475" s="19"/>
      <c r="D475" s="20"/>
      <c r="E475" s="21"/>
      <c r="F475" s="21"/>
    </row>
    <row r="476" spans="2:6">
      <c r="B476" s="19"/>
      <c r="C476" s="19"/>
      <c r="D476" s="20"/>
      <c r="E476" s="21"/>
      <c r="F476" s="21"/>
    </row>
    <row r="477" spans="2:6">
      <c r="B477" s="19"/>
      <c r="C477" s="19"/>
      <c r="D477" s="20"/>
      <c r="E477" s="21"/>
      <c r="F477" s="21"/>
    </row>
    <row r="478" spans="2:6">
      <c r="B478" s="19"/>
      <c r="C478" s="19"/>
      <c r="D478" s="20"/>
      <c r="E478" s="21"/>
      <c r="F478" s="21"/>
    </row>
    <row r="479" spans="2:6">
      <c r="B479" s="19"/>
      <c r="C479" s="19"/>
      <c r="D479" s="20"/>
      <c r="E479" s="21"/>
      <c r="F479" s="21"/>
    </row>
    <row r="480" spans="2:6">
      <c r="B480" s="19"/>
      <c r="C480" s="19"/>
      <c r="D480" s="20"/>
      <c r="E480" s="21"/>
      <c r="F480" s="21"/>
    </row>
    <row r="481" spans="2:6">
      <c r="B481" s="19"/>
      <c r="C481" s="19"/>
      <c r="D481" s="20"/>
      <c r="E481" s="21"/>
      <c r="F481" s="21"/>
    </row>
    <row r="482" spans="2:6">
      <c r="B482" s="19"/>
      <c r="C482" s="19"/>
      <c r="D482" s="20"/>
      <c r="E482" s="21"/>
      <c r="F482" s="21"/>
    </row>
    <row r="483" spans="2:6">
      <c r="B483" s="19"/>
      <c r="C483" s="19"/>
      <c r="D483" s="20"/>
      <c r="E483" s="21"/>
      <c r="F483" s="21"/>
    </row>
    <row r="484" spans="2:6">
      <c r="B484" s="19"/>
      <c r="C484" s="19"/>
      <c r="D484" s="20"/>
      <c r="E484" s="21"/>
      <c r="F484" s="21"/>
    </row>
    <row r="485" spans="2:6">
      <c r="B485" s="19"/>
      <c r="C485" s="19"/>
      <c r="D485" s="20"/>
      <c r="E485" s="21"/>
      <c r="F485" s="21"/>
    </row>
    <row r="486" spans="2:6">
      <c r="B486" s="19"/>
      <c r="C486" s="19"/>
      <c r="D486" s="20"/>
      <c r="E486" s="21"/>
      <c r="F486" s="21"/>
    </row>
    <row r="487" spans="2:6">
      <c r="B487" s="19"/>
      <c r="C487" s="19"/>
      <c r="D487" s="20"/>
      <c r="E487" s="21"/>
      <c r="F487" s="21"/>
    </row>
    <row r="488" spans="2:6">
      <c r="B488" s="19"/>
      <c r="C488" s="19"/>
      <c r="D488" s="20"/>
      <c r="E488" s="21"/>
      <c r="F488" s="21"/>
    </row>
    <row r="489" spans="2:6">
      <c r="B489" s="19"/>
      <c r="C489" s="19"/>
      <c r="D489" s="20"/>
      <c r="E489" s="21"/>
      <c r="F489" s="21"/>
    </row>
    <row r="490" spans="2:6">
      <c r="B490" s="19"/>
      <c r="C490" s="19"/>
      <c r="D490" s="20"/>
      <c r="E490" s="21"/>
      <c r="F490" s="21"/>
    </row>
    <row r="491" spans="2:6">
      <c r="B491" s="19"/>
      <c r="C491" s="19"/>
      <c r="D491" s="20"/>
      <c r="E491" s="21"/>
      <c r="F491" s="21"/>
    </row>
    <row r="492" spans="2:6">
      <c r="B492" s="19"/>
      <c r="C492" s="19"/>
      <c r="D492" s="20"/>
      <c r="E492" s="21"/>
      <c r="F492" s="21"/>
    </row>
    <row r="493" spans="2:6">
      <c r="B493" s="19"/>
      <c r="C493" s="19"/>
      <c r="D493" s="20"/>
      <c r="E493" s="21"/>
      <c r="F493" s="21"/>
    </row>
    <row r="494" spans="2:6">
      <c r="B494" s="19"/>
      <c r="C494" s="19"/>
      <c r="D494" s="20"/>
      <c r="E494" s="21"/>
      <c r="F494" s="21"/>
    </row>
    <row r="495" spans="2:6">
      <c r="B495" s="19"/>
      <c r="C495" s="19"/>
      <c r="D495" s="20"/>
      <c r="E495" s="21"/>
      <c r="F495" s="21"/>
    </row>
    <row r="496" spans="2:6">
      <c r="B496" s="19"/>
      <c r="C496" s="19"/>
      <c r="D496" s="20"/>
      <c r="E496" s="21"/>
      <c r="F496" s="21"/>
    </row>
    <row r="497" spans="2:6">
      <c r="B497" s="19"/>
      <c r="C497" s="19"/>
      <c r="D497" s="20"/>
      <c r="E497" s="21"/>
      <c r="F497" s="21"/>
    </row>
    <row r="498" spans="2:6">
      <c r="B498" s="19"/>
      <c r="C498" s="19"/>
      <c r="D498" s="20"/>
      <c r="E498" s="21"/>
      <c r="F498" s="21"/>
    </row>
    <row r="499" spans="2:6">
      <c r="B499" s="19"/>
      <c r="C499" s="19"/>
      <c r="D499" s="20"/>
      <c r="E499" s="21"/>
      <c r="F499" s="21"/>
    </row>
    <row r="500" spans="2:6">
      <c r="B500" s="19"/>
      <c r="C500" s="19"/>
      <c r="D500" s="20"/>
      <c r="E500" s="21"/>
      <c r="F500" s="21"/>
    </row>
    <row r="501" spans="2:6">
      <c r="B501" s="19"/>
      <c r="C501" s="19"/>
      <c r="D501" s="20"/>
      <c r="E501" s="21"/>
      <c r="F501" s="21"/>
    </row>
    <row r="502" spans="2:6">
      <c r="B502" s="19"/>
      <c r="C502" s="19"/>
      <c r="D502" s="20"/>
      <c r="E502" s="21"/>
      <c r="F502" s="21"/>
    </row>
    <row r="503" spans="2:6">
      <c r="B503" s="19"/>
      <c r="C503" s="19"/>
      <c r="D503" s="20"/>
      <c r="E503" s="21"/>
      <c r="F503" s="21"/>
    </row>
    <row r="504" spans="2:6">
      <c r="B504" s="19"/>
      <c r="C504" s="19"/>
      <c r="D504" s="20"/>
      <c r="E504" s="21"/>
      <c r="F504" s="21"/>
    </row>
    <row r="505" spans="2:6">
      <c r="B505" s="19"/>
      <c r="C505" s="19"/>
      <c r="D505" s="20"/>
      <c r="E505" s="21"/>
      <c r="F505" s="21"/>
    </row>
    <row r="506" spans="2:6">
      <c r="B506" s="19"/>
      <c r="C506" s="19"/>
      <c r="D506" s="20"/>
      <c r="E506" s="21"/>
      <c r="F506" s="21"/>
    </row>
    <row r="507" spans="2:6">
      <c r="B507" s="19"/>
      <c r="C507" s="19"/>
      <c r="D507" s="20"/>
      <c r="E507" s="21"/>
      <c r="F507" s="21"/>
    </row>
    <row r="508" spans="2:6">
      <c r="B508" s="19"/>
      <c r="C508" s="19"/>
      <c r="D508" s="20"/>
      <c r="E508" s="21"/>
      <c r="F508" s="21"/>
    </row>
    <row r="509" spans="2:6">
      <c r="B509" s="19"/>
      <c r="C509" s="19"/>
      <c r="D509" s="20"/>
      <c r="E509" s="21"/>
      <c r="F509" s="21"/>
    </row>
    <row r="510" spans="2:6">
      <c r="B510" s="19"/>
      <c r="C510" s="19"/>
      <c r="D510" s="20"/>
      <c r="E510" s="21"/>
      <c r="F510" s="21"/>
    </row>
    <row r="511" spans="2:6">
      <c r="B511" s="19"/>
      <c r="C511" s="19"/>
      <c r="D511" s="20"/>
      <c r="E511" s="21"/>
      <c r="F511" s="21"/>
    </row>
    <row r="512" spans="2:6">
      <c r="B512" s="19"/>
      <c r="C512" s="19"/>
      <c r="D512" s="20"/>
      <c r="E512" s="21"/>
      <c r="F512" s="21"/>
    </row>
    <row r="513" spans="2:6">
      <c r="B513" s="19"/>
      <c r="C513" s="19"/>
      <c r="D513" s="20"/>
      <c r="E513" s="21"/>
      <c r="F513" s="21"/>
    </row>
    <row r="514" spans="2:6">
      <c r="B514" s="19"/>
      <c r="C514" s="19"/>
      <c r="D514" s="20"/>
      <c r="E514" s="21"/>
      <c r="F514" s="21"/>
    </row>
    <row r="515" spans="2:6">
      <c r="B515" s="19"/>
      <c r="C515" s="19"/>
      <c r="D515" s="20"/>
      <c r="E515" s="21"/>
      <c r="F515" s="21"/>
    </row>
    <row r="516" spans="2:6">
      <c r="B516" s="19"/>
      <c r="C516" s="19"/>
      <c r="D516" s="20"/>
      <c r="E516" s="21"/>
      <c r="F516" s="21"/>
    </row>
    <row r="517" spans="2:6">
      <c r="B517" s="19"/>
      <c r="C517" s="19"/>
      <c r="D517" s="20"/>
      <c r="E517" s="21"/>
      <c r="F517" s="21"/>
    </row>
    <row r="518" spans="2:6">
      <c r="B518" s="19"/>
      <c r="C518" s="19"/>
      <c r="D518" s="20"/>
      <c r="E518" s="21"/>
      <c r="F518" s="21"/>
    </row>
    <row r="519" spans="2:6">
      <c r="B519" s="19"/>
      <c r="C519" s="19"/>
      <c r="D519" s="20"/>
      <c r="E519" s="21"/>
      <c r="F519" s="21"/>
    </row>
    <row r="520" spans="2:6">
      <c r="B520" s="19"/>
      <c r="C520" s="19"/>
      <c r="D520" s="20"/>
      <c r="E520" s="21"/>
      <c r="F520" s="21"/>
    </row>
    <row r="521" spans="2:6">
      <c r="B521" s="19"/>
      <c r="C521" s="19"/>
      <c r="D521" s="20"/>
      <c r="E521" s="21"/>
      <c r="F521" s="21"/>
    </row>
    <row r="522" spans="2:6">
      <c r="B522" s="19"/>
      <c r="C522" s="19"/>
      <c r="D522" s="20"/>
      <c r="E522" s="21"/>
      <c r="F522" s="21"/>
    </row>
    <row r="523" spans="2:6">
      <c r="B523" s="19"/>
      <c r="C523" s="19"/>
      <c r="D523" s="20"/>
      <c r="E523" s="21"/>
      <c r="F523" s="21"/>
    </row>
    <row r="524" spans="2:6">
      <c r="B524" s="19"/>
      <c r="C524" s="19"/>
      <c r="D524" s="20"/>
      <c r="E524" s="21"/>
      <c r="F524" s="21"/>
    </row>
    <row r="525" spans="2:6">
      <c r="B525" s="19"/>
      <c r="C525" s="19"/>
      <c r="D525" s="20"/>
      <c r="E525" s="21"/>
      <c r="F525" s="21"/>
    </row>
    <row r="526" spans="2:6">
      <c r="B526" s="19"/>
      <c r="C526" s="19"/>
      <c r="D526" s="20"/>
      <c r="E526" s="21"/>
      <c r="F526" s="21"/>
    </row>
    <row r="527" spans="2:6">
      <c r="B527" s="19"/>
      <c r="C527" s="19"/>
      <c r="D527" s="20"/>
      <c r="E527" s="21"/>
      <c r="F527" s="21"/>
    </row>
    <row r="528" spans="2:6">
      <c r="B528" s="19"/>
      <c r="C528" s="19"/>
      <c r="D528" s="20"/>
      <c r="E528" s="21"/>
      <c r="F528" s="21"/>
    </row>
    <row r="529" spans="2:6">
      <c r="B529" s="19"/>
      <c r="C529" s="19"/>
      <c r="D529" s="20"/>
      <c r="E529" s="21"/>
      <c r="F529" s="21"/>
    </row>
    <row r="530" spans="2:6">
      <c r="B530" s="19"/>
      <c r="C530" s="19"/>
      <c r="D530" s="20"/>
      <c r="E530" s="21"/>
      <c r="F530" s="21"/>
    </row>
    <row r="531" spans="2:6">
      <c r="B531" s="19"/>
      <c r="C531" s="19"/>
      <c r="D531" s="20"/>
      <c r="E531" s="21"/>
      <c r="F531" s="21"/>
    </row>
    <row r="532" spans="2:6">
      <c r="B532" s="19"/>
      <c r="C532" s="19"/>
      <c r="D532" s="20"/>
      <c r="E532" s="21"/>
      <c r="F532" s="21"/>
    </row>
    <row r="533" spans="2:6">
      <c r="B533" s="19"/>
      <c r="C533" s="19"/>
      <c r="D533" s="20"/>
      <c r="E533" s="21"/>
      <c r="F533" s="21"/>
    </row>
    <row r="534" spans="2:6">
      <c r="B534" s="19"/>
      <c r="C534" s="19"/>
      <c r="D534" s="20"/>
      <c r="E534" s="21"/>
      <c r="F534" s="21"/>
    </row>
    <row r="535" spans="2:6">
      <c r="B535" s="19"/>
      <c r="C535" s="19"/>
      <c r="D535" s="20"/>
      <c r="E535" s="21"/>
      <c r="F535" s="21"/>
    </row>
    <row r="536" spans="2:6">
      <c r="B536" s="19"/>
      <c r="C536" s="19"/>
      <c r="D536" s="20"/>
      <c r="E536" s="21"/>
      <c r="F536" s="21"/>
    </row>
    <row r="537" spans="2:6">
      <c r="B537" s="19"/>
      <c r="C537" s="19"/>
      <c r="D537" s="20"/>
      <c r="E537" s="21"/>
      <c r="F537" s="21"/>
    </row>
    <row r="538" spans="2:6">
      <c r="B538" s="19"/>
      <c r="C538" s="19"/>
      <c r="D538" s="20"/>
      <c r="E538" s="21"/>
      <c r="F538" s="21"/>
    </row>
    <row r="539" spans="2:6">
      <c r="B539" s="19"/>
      <c r="C539" s="19"/>
      <c r="D539" s="20"/>
      <c r="E539" s="21"/>
      <c r="F539" s="21"/>
    </row>
    <row r="540" spans="2:6">
      <c r="B540" s="19"/>
      <c r="C540" s="19"/>
      <c r="D540" s="20"/>
      <c r="E540" s="21"/>
      <c r="F540" s="21"/>
    </row>
    <row r="541" spans="2:6">
      <c r="B541" s="19"/>
      <c r="C541" s="19"/>
      <c r="D541" s="20"/>
      <c r="E541" s="21"/>
      <c r="F541" s="21"/>
    </row>
    <row r="542" spans="2:6">
      <c r="B542" s="19"/>
      <c r="C542" s="19"/>
      <c r="D542" s="20"/>
      <c r="E542" s="21"/>
      <c r="F542" s="21"/>
    </row>
    <row r="543" spans="2:6">
      <c r="B543" s="19"/>
      <c r="C543" s="19"/>
      <c r="D543" s="20"/>
      <c r="E543" s="21"/>
      <c r="F543" s="21"/>
    </row>
    <row r="544" spans="2:6">
      <c r="B544" s="19"/>
      <c r="C544" s="19"/>
      <c r="D544" s="20"/>
      <c r="E544" s="21"/>
      <c r="F544" s="21"/>
    </row>
    <row r="545" spans="2:6">
      <c r="B545" s="19"/>
      <c r="C545" s="19"/>
      <c r="D545" s="20"/>
      <c r="E545" s="21"/>
      <c r="F545" s="21"/>
    </row>
    <row r="546" spans="2:6">
      <c r="B546" s="19"/>
      <c r="C546" s="19"/>
      <c r="D546" s="20"/>
      <c r="E546" s="21"/>
      <c r="F546" s="21"/>
    </row>
    <row r="547" spans="2:6">
      <c r="B547" s="19"/>
      <c r="C547" s="19"/>
      <c r="D547" s="20"/>
      <c r="E547" s="21"/>
      <c r="F547" s="21"/>
    </row>
    <row r="548" spans="2:6">
      <c r="B548" s="19"/>
      <c r="C548" s="19"/>
      <c r="D548" s="20"/>
      <c r="E548" s="21"/>
      <c r="F548" s="21"/>
    </row>
    <row r="549" spans="2:6">
      <c r="B549" s="19"/>
      <c r="C549" s="19"/>
      <c r="D549" s="20"/>
      <c r="E549" s="21"/>
      <c r="F549" s="21"/>
    </row>
    <row r="550" spans="2:6">
      <c r="B550" s="19"/>
      <c r="C550" s="19"/>
      <c r="D550" s="20"/>
      <c r="E550" s="21"/>
      <c r="F550" s="21"/>
    </row>
    <row r="551" spans="2:6">
      <c r="B551" s="19"/>
      <c r="C551" s="19"/>
      <c r="D551" s="20"/>
      <c r="E551" s="21"/>
      <c r="F551" s="21"/>
    </row>
    <row r="552" spans="2:6">
      <c r="B552" s="19"/>
      <c r="C552" s="19"/>
      <c r="D552" s="20"/>
      <c r="E552" s="21"/>
      <c r="F552" s="21"/>
    </row>
    <row r="553" spans="2:6">
      <c r="B553" s="19"/>
      <c r="C553" s="19"/>
      <c r="D553" s="20"/>
      <c r="E553" s="21"/>
      <c r="F553" s="21"/>
    </row>
    <row r="554" spans="2:6">
      <c r="B554" s="19"/>
      <c r="C554" s="19"/>
      <c r="D554" s="20"/>
      <c r="E554" s="21"/>
      <c r="F554" s="21"/>
    </row>
    <row r="555" spans="2:6">
      <c r="B555" s="19"/>
      <c r="C555" s="19"/>
      <c r="D555" s="20"/>
      <c r="E555" s="21"/>
      <c r="F555" s="21"/>
    </row>
    <row r="556" spans="2:6">
      <c r="B556" s="19"/>
      <c r="C556" s="19"/>
      <c r="D556" s="20"/>
      <c r="E556" s="21"/>
      <c r="F556" s="21"/>
    </row>
    <row r="557" spans="2:6">
      <c r="B557" s="19"/>
      <c r="C557" s="19"/>
      <c r="D557" s="20"/>
      <c r="E557" s="21"/>
      <c r="F557" s="21"/>
    </row>
    <row r="558" spans="2:6">
      <c r="B558" s="19"/>
      <c r="C558" s="19"/>
      <c r="D558" s="20"/>
      <c r="E558" s="21"/>
      <c r="F558" s="21"/>
    </row>
    <row r="559" spans="2:6">
      <c r="B559" s="19"/>
      <c r="C559" s="19"/>
      <c r="D559" s="20"/>
      <c r="E559" s="21"/>
      <c r="F559" s="21"/>
    </row>
    <row r="560" spans="2:6">
      <c r="B560" s="19"/>
      <c r="C560" s="19"/>
      <c r="D560" s="20"/>
      <c r="E560" s="21"/>
      <c r="F560" s="21"/>
    </row>
    <row r="561" spans="2:6">
      <c r="B561" s="19"/>
      <c r="C561" s="19"/>
      <c r="D561" s="20"/>
      <c r="E561" s="21"/>
      <c r="F561" s="21"/>
    </row>
    <row r="562" spans="2:6">
      <c r="B562" s="19"/>
      <c r="C562" s="19"/>
      <c r="D562" s="20"/>
      <c r="E562" s="21"/>
      <c r="F562" s="21"/>
    </row>
    <row r="563" spans="2:6">
      <c r="B563" s="19"/>
      <c r="C563" s="19"/>
      <c r="D563" s="20"/>
      <c r="E563" s="21"/>
      <c r="F563" s="21"/>
    </row>
    <row r="564" spans="2:6">
      <c r="B564" s="19"/>
      <c r="C564" s="19"/>
      <c r="D564" s="20"/>
      <c r="E564" s="21"/>
      <c r="F564" s="21"/>
    </row>
    <row r="565" spans="2:6">
      <c r="B565" s="19"/>
      <c r="C565" s="19"/>
      <c r="D565" s="20"/>
      <c r="E565" s="21"/>
      <c r="F565" s="21"/>
    </row>
    <row r="566" spans="2:6">
      <c r="B566" s="19"/>
      <c r="C566" s="19"/>
      <c r="D566" s="20"/>
      <c r="E566" s="21"/>
      <c r="F566" s="21"/>
    </row>
    <row r="567" spans="2:6">
      <c r="B567" s="19"/>
      <c r="C567" s="19"/>
      <c r="D567" s="20"/>
      <c r="E567" s="21"/>
      <c r="F567" s="21"/>
    </row>
    <row r="568" spans="2:6">
      <c r="B568" s="19"/>
      <c r="C568" s="19"/>
      <c r="D568" s="20"/>
      <c r="E568" s="21"/>
      <c r="F568" s="21"/>
    </row>
    <row r="569" spans="2:6">
      <c r="B569" s="19"/>
      <c r="C569" s="19"/>
      <c r="D569" s="20"/>
      <c r="E569" s="21"/>
      <c r="F569" s="21"/>
    </row>
    <row r="570" spans="2:6">
      <c r="B570" s="19"/>
      <c r="C570" s="19"/>
      <c r="D570" s="20"/>
      <c r="E570" s="21"/>
      <c r="F570" s="21"/>
    </row>
    <row r="571" spans="2:6">
      <c r="B571" s="19"/>
      <c r="C571" s="19"/>
      <c r="D571" s="20"/>
      <c r="E571" s="21"/>
      <c r="F571" s="21"/>
    </row>
    <row r="572" spans="2:6">
      <c r="B572" s="19"/>
      <c r="C572" s="19"/>
      <c r="D572" s="20"/>
      <c r="E572" s="21"/>
      <c r="F572" s="21"/>
    </row>
    <row r="573" spans="2:6">
      <c r="B573" s="19"/>
      <c r="C573" s="19"/>
      <c r="D573" s="20"/>
      <c r="E573" s="21"/>
      <c r="F573" s="21"/>
    </row>
    <row r="574" spans="2:6">
      <c r="B574" s="19"/>
      <c r="C574" s="19"/>
      <c r="D574" s="20"/>
      <c r="E574" s="21"/>
      <c r="F574" s="21"/>
    </row>
    <row r="575" spans="2:6">
      <c r="B575" s="19"/>
      <c r="C575" s="19"/>
      <c r="D575" s="20"/>
      <c r="E575" s="21"/>
      <c r="F575" s="21"/>
    </row>
    <row r="576" spans="2:6">
      <c r="B576" s="19"/>
      <c r="C576" s="19"/>
      <c r="D576" s="20"/>
      <c r="E576" s="21"/>
      <c r="F576" s="21"/>
    </row>
    <row r="577" spans="2:6">
      <c r="B577" s="19"/>
      <c r="C577" s="19"/>
      <c r="D577" s="20"/>
      <c r="E577" s="21"/>
      <c r="F577" s="21"/>
    </row>
    <row r="578" spans="2:6">
      <c r="B578" s="19"/>
      <c r="C578" s="19"/>
      <c r="D578" s="20"/>
      <c r="E578" s="21"/>
      <c r="F578" s="21"/>
    </row>
    <row r="579" spans="2:6">
      <c r="B579" s="19"/>
      <c r="C579" s="19"/>
      <c r="D579" s="20"/>
      <c r="E579" s="21"/>
      <c r="F579" s="21"/>
    </row>
    <row r="580" spans="2:6">
      <c r="B580" s="19"/>
      <c r="C580" s="19"/>
      <c r="D580" s="20"/>
      <c r="E580" s="21"/>
      <c r="F580" s="21"/>
    </row>
    <row r="581" spans="2:6">
      <c r="B581" s="19"/>
      <c r="C581" s="19"/>
      <c r="D581" s="20"/>
      <c r="E581" s="21"/>
      <c r="F581" s="21"/>
    </row>
    <row r="582" spans="2:6">
      <c r="B582" s="19"/>
      <c r="C582" s="19"/>
      <c r="D582" s="20"/>
      <c r="E582" s="21"/>
      <c r="F582" s="21"/>
    </row>
    <row r="583" spans="2:6">
      <c r="B583" s="19"/>
      <c r="C583" s="19"/>
      <c r="D583" s="20"/>
      <c r="E583" s="21"/>
      <c r="F583" s="21"/>
    </row>
    <row r="584" spans="2:6">
      <c r="B584" s="19"/>
      <c r="C584" s="19"/>
      <c r="D584" s="20"/>
      <c r="E584" s="21"/>
      <c r="F584" s="21"/>
    </row>
    <row r="585" spans="2:6">
      <c r="B585" s="19"/>
      <c r="C585" s="19"/>
      <c r="D585" s="20"/>
      <c r="E585" s="21"/>
      <c r="F585" s="21"/>
    </row>
    <row r="586" spans="2:6">
      <c r="B586" s="19"/>
      <c r="C586" s="19"/>
      <c r="D586" s="20"/>
      <c r="E586" s="21"/>
      <c r="F586" s="21"/>
    </row>
    <row r="587" spans="2:6">
      <c r="B587" s="19"/>
      <c r="C587" s="19"/>
      <c r="D587" s="20"/>
      <c r="E587" s="21"/>
      <c r="F587" s="21"/>
    </row>
    <row r="588" spans="2:6">
      <c r="B588" s="19"/>
      <c r="C588" s="19"/>
      <c r="D588" s="20"/>
      <c r="E588" s="21"/>
      <c r="F588" s="21"/>
    </row>
    <row r="589" spans="2:6">
      <c r="B589" s="19"/>
      <c r="C589" s="19"/>
      <c r="D589" s="20"/>
      <c r="E589" s="21"/>
      <c r="F589" s="21"/>
    </row>
    <row r="590" spans="2:6">
      <c r="B590" s="19"/>
      <c r="C590" s="19"/>
      <c r="D590" s="20"/>
      <c r="E590" s="21"/>
      <c r="F590" s="21"/>
    </row>
    <row r="591" spans="2:6">
      <c r="B591" s="19"/>
      <c r="C591" s="19"/>
      <c r="D591" s="20"/>
      <c r="E591" s="21"/>
      <c r="F591" s="21"/>
    </row>
    <row r="592" spans="2:6">
      <c r="B592" s="19"/>
      <c r="C592" s="19"/>
      <c r="D592" s="20"/>
      <c r="E592" s="21"/>
      <c r="F592" s="21"/>
    </row>
    <row r="593" spans="2:6">
      <c r="B593" s="19"/>
      <c r="C593" s="19"/>
      <c r="D593" s="20"/>
      <c r="E593" s="21"/>
      <c r="F593" s="21"/>
    </row>
    <row r="594" spans="2:6">
      <c r="B594" s="19"/>
      <c r="C594" s="19"/>
      <c r="D594" s="20"/>
      <c r="E594" s="21"/>
      <c r="F594" s="21"/>
    </row>
    <row r="595" spans="2:6">
      <c r="B595" s="19"/>
      <c r="C595" s="19"/>
      <c r="D595" s="20"/>
      <c r="E595" s="21"/>
      <c r="F595" s="21"/>
    </row>
    <row r="596" spans="2:6">
      <c r="B596" s="19"/>
      <c r="C596" s="19"/>
      <c r="D596" s="20"/>
      <c r="E596" s="21"/>
      <c r="F596" s="21"/>
    </row>
    <row r="597" spans="2:6">
      <c r="B597" s="19"/>
      <c r="C597" s="19"/>
      <c r="D597" s="20"/>
      <c r="E597" s="21"/>
      <c r="F597" s="21"/>
    </row>
    <row r="598" spans="2:6">
      <c r="B598" s="19"/>
      <c r="C598" s="19"/>
      <c r="D598" s="20"/>
      <c r="E598" s="21"/>
      <c r="F598" s="21"/>
    </row>
    <row r="599" spans="2:6">
      <c r="B599" s="19"/>
      <c r="C599" s="19"/>
      <c r="D599" s="20"/>
      <c r="E599" s="21"/>
      <c r="F599" s="21"/>
    </row>
    <row r="600" spans="2:6">
      <c r="B600" s="19"/>
      <c r="C600" s="19"/>
      <c r="D600" s="20"/>
      <c r="E600" s="21"/>
      <c r="F600" s="21"/>
    </row>
    <row r="601" spans="2:6">
      <c r="B601" s="19"/>
      <c r="C601" s="19"/>
      <c r="D601" s="20"/>
      <c r="E601" s="21"/>
      <c r="F601" s="21"/>
    </row>
    <row r="602" spans="2:6">
      <c r="B602" s="19"/>
      <c r="C602" s="19"/>
      <c r="D602" s="20"/>
      <c r="E602" s="21"/>
      <c r="F602" s="21"/>
    </row>
    <row r="603" spans="2:6">
      <c r="B603" s="19"/>
      <c r="C603" s="19"/>
      <c r="D603" s="20"/>
      <c r="E603" s="21"/>
      <c r="F603" s="21"/>
    </row>
    <row r="604" spans="2:6">
      <c r="B604" s="19"/>
      <c r="C604" s="19"/>
      <c r="D604" s="20"/>
      <c r="E604" s="21"/>
      <c r="F604" s="21"/>
    </row>
    <row r="605" spans="2:6">
      <c r="B605" s="19"/>
      <c r="C605" s="19"/>
      <c r="D605" s="20"/>
      <c r="E605" s="21"/>
      <c r="F605" s="21"/>
    </row>
    <row r="606" spans="2:6">
      <c r="B606" s="19"/>
      <c r="C606" s="19"/>
      <c r="D606" s="20"/>
      <c r="E606" s="21"/>
      <c r="F606" s="21"/>
    </row>
    <row r="607" spans="2:6">
      <c r="B607" s="19"/>
      <c r="C607" s="19"/>
      <c r="D607" s="20"/>
      <c r="E607" s="21"/>
      <c r="F607" s="21"/>
    </row>
    <row r="608" spans="2:6">
      <c r="B608" s="19"/>
      <c r="C608" s="19"/>
      <c r="D608" s="20"/>
      <c r="E608" s="21"/>
      <c r="F608" s="21"/>
    </row>
    <row r="609" spans="2:6">
      <c r="B609" s="19"/>
      <c r="C609" s="19"/>
      <c r="D609" s="20"/>
      <c r="E609" s="21"/>
      <c r="F609" s="21"/>
    </row>
    <row r="610" spans="2:6">
      <c r="B610" s="19"/>
      <c r="C610" s="19"/>
      <c r="D610" s="20"/>
      <c r="E610" s="21"/>
      <c r="F610" s="21"/>
    </row>
    <row r="611" spans="2:6">
      <c r="B611" s="19"/>
      <c r="C611" s="19"/>
      <c r="D611" s="20"/>
      <c r="E611" s="21"/>
      <c r="F611" s="21"/>
    </row>
    <row r="612" spans="2:6">
      <c r="B612" s="19"/>
      <c r="C612" s="19"/>
      <c r="D612" s="20"/>
      <c r="E612" s="21"/>
      <c r="F612" s="21"/>
    </row>
    <row r="613" spans="2:6">
      <c r="B613" s="19"/>
      <c r="C613" s="19"/>
      <c r="D613" s="20"/>
      <c r="E613" s="21"/>
      <c r="F613" s="21"/>
    </row>
    <row r="614" spans="2:6">
      <c r="B614" s="19"/>
      <c r="C614" s="19"/>
      <c r="D614" s="20"/>
      <c r="E614" s="21"/>
      <c r="F614" s="21"/>
    </row>
    <row r="615" spans="2:6">
      <c r="B615" s="19"/>
      <c r="C615" s="19"/>
      <c r="D615" s="20"/>
      <c r="E615" s="21"/>
      <c r="F615" s="21"/>
    </row>
    <row r="616" spans="2:6">
      <c r="B616" s="19"/>
      <c r="C616" s="19"/>
      <c r="D616" s="20"/>
      <c r="E616" s="21"/>
      <c r="F616" s="21"/>
    </row>
    <row r="617" spans="2:6">
      <c r="B617" s="19"/>
      <c r="C617" s="19"/>
      <c r="D617" s="20"/>
      <c r="E617" s="21"/>
      <c r="F617" s="21"/>
    </row>
    <row r="618" spans="2:6">
      <c r="B618" s="19"/>
      <c r="C618" s="19"/>
      <c r="D618" s="20"/>
      <c r="E618" s="21"/>
      <c r="F618" s="21"/>
    </row>
    <row r="619" spans="2:6">
      <c r="B619" s="19"/>
      <c r="C619" s="19"/>
      <c r="D619" s="20"/>
      <c r="E619" s="21"/>
      <c r="F619" s="21"/>
    </row>
    <row r="620" spans="2:6">
      <c r="B620" s="19"/>
      <c r="C620" s="19"/>
      <c r="D620" s="20"/>
      <c r="E620" s="21"/>
      <c r="F620" s="21"/>
    </row>
    <row r="621" spans="2:6">
      <c r="B621" s="19"/>
      <c r="C621" s="19"/>
      <c r="D621" s="20"/>
      <c r="E621" s="21"/>
      <c r="F621" s="21"/>
    </row>
    <row r="622" spans="2:6">
      <c r="B622" s="19"/>
      <c r="C622" s="19"/>
      <c r="D622" s="20"/>
      <c r="E622" s="21"/>
      <c r="F622" s="21"/>
    </row>
    <row r="623" spans="2:6">
      <c r="B623" s="19"/>
      <c r="C623" s="19"/>
      <c r="D623" s="20"/>
      <c r="E623" s="21"/>
      <c r="F623" s="21"/>
    </row>
    <row r="624" spans="2:6">
      <c r="B624" s="19"/>
      <c r="C624" s="19"/>
      <c r="D624" s="20"/>
      <c r="E624" s="21"/>
      <c r="F624" s="21"/>
    </row>
    <row r="625" spans="2:6">
      <c r="B625" s="19"/>
      <c r="C625" s="19"/>
      <c r="D625" s="20"/>
      <c r="E625" s="21"/>
      <c r="F625" s="21"/>
    </row>
    <row r="626" spans="2:6">
      <c r="B626" s="19"/>
      <c r="C626" s="19"/>
      <c r="D626" s="20"/>
      <c r="E626" s="21"/>
      <c r="F626" s="21"/>
    </row>
    <row r="627" spans="2:6">
      <c r="B627" s="19"/>
      <c r="C627" s="19"/>
      <c r="D627" s="20"/>
      <c r="E627" s="21"/>
      <c r="F627" s="21"/>
    </row>
    <row r="628" spans="2:6">
      <c r="B628" s="19"/>
      <c r="C628" s="19"/>
      <c r="D628" s="20"/>
      <c r="E628" s="21"/>
      <c r="F628" s="21"/>
    </row>
    <row r="629" spans="2:6">
      <c r="B629" s="19"/>
      <c r="C629" s="19"/>
      <c r="D629" s="20"/>
      <c r="E629" s="21"/>
      <c r="F629" s="21"/>
    </row>
    <row r="630" spans="2:6">
      <c r="B630" s="19"/>
      <c r="C630" s="19"/>
      <c r="D630" s="20"/>
      <c r="E630" s="21"/>
      <c r="F630" s="21"/>
    </row>
    <row r="631" spans="2:6">
      <c r="B631" s="19"/>
      <c r="C631" s="19"/>
      <c r="D631" s="20"/>
      <c r="E631" s="21"/>
      <c r="F631" s="21"/>
    </row>
    <row r="632" spans="2:6">
      <c r="B632" s="19"/>
      <c r="C632" s="19"/>
      <c r="D632" s="20"/>
      <c r="E632" s="21"/>
      <c r="F632" s="21"/>
    </row>
    <row r="633" spans="2:6">
      <c r="B633" s="19"/>
      <c r="C633" s="19"/>
      <c r="D633" s="20"/>
      <c r="E633" s="21"/>
      <c r="F633" s="21"/>
    </row>
    <row r="634" spans="2:6">
      <c r="B634" s="19"/>
      <c r="C634" s="19"/>
      <c r="D634" s="20"/>
      <c r="E634" s="21"/>
      <c r="F634" s="21"/>
    </row>
    <row r="635" spans="2:6">
      <c r="B635" s="19"/>
      <c r="C635" s="19"/>
      <c r="D635" s="20"/>
      <c r="E635" s="21"/>
      <c r="F635" s="21"/>
    </row>
    <row r="636" spans="2:6">
      <c r="B636" s="19"/>
      <c r="C636" s="19"/>
      <c r="D636" s="20"/>
      <c r="E636" s="21"/>
      <c r="F636" s="21"/>
    </row>
    <row r="637" spans="2:6">
      <c r="B637" s="19"/>
      <c r="C637" s="19"/>
      <c r="D637" s="20"/>
      <c r="E637" s="21"/>
      <c r="F637" s="21"/>
    </row>
    <row r="638" spans="2:6">
      <c r="B638" s="19"/>
      <c r="C638" s="19"/>
      <c r="D638" s="20"/>
      <c r="E638" s="21"/>
      <c r="F638" s="21"/>
    </row>
    <row r="639" spans="2:6">
      <c r="B639" s="19"/>
      <c r="C639" s="19"/>
      <c r="D639" s="20"/>
      <c r="E639" s="21"/>
      <c r="F639" s="21"/>
    </row>
    <row r="640" spans="2:6">
      <c r="B640" s="19"/>
      <c r="C640" s="19"/>
      <c r="D640" s="20"/>
      <c r="E640" s="21"/>
      <c r="F640" s="21"/>
    </row>
    <row r="641" spans="2:6">
      <c r="B641" s="19"/>
      <c r="C641" s="19"/>
      <c r="D641" s="20"/>
      <c r="E641" s="21"/>
      <c r="F641" s="21"/>
    </row>
    <row r="642" spans="2:6">
      <c r="B642" s="19"/>
      <c r="C642" s="19"/>
      <c r="D642" s="20"/>
      <c r="E642" s="21"/>
      <c r="F642" s="21"/>
    </row>
    <row r="643" spans="2:6">
      <c r="B643" s="19"/>
      <c r="C643" s="19"/>
      <c r="D643" s="20"/>
      <c r="E643" s="21"/>
      <c r="F643" s="21"/>
    </row>
    <row r="644" spans="2:6">
      <c r="B644" s="19"/>
      <c r="C644" s="19"/>
      <c r="D644" s="20"/>
      <c r="E644" s="21"/>
      <c r="F644" s="21"/>
    </row>
    <row r="645" spans="2:6">
      <c r="B645" s="19"/>
      <c r="C645" s="19"/>
      <c r="D645" s="20"/>
      <c r="E645" s="21"/>
      <c r="F645" s="21"/>
    </row>
    <row r="646" spans="2:6">
      <c r="B646" s="19"/>
      <c r="C646" s="19"/>
      <c r="D646" s="20"/>
      <c r="E646" s="21"/>
      <c r="F646" s="21"/>
    </row>
    <row r="647" spans="2:6">
      <c r="B647" s="19"/>
      <c r="C647" s="19"/>
      <c r="D647" s="20"/>
      <c r="E647" s="21"/>
      <c r="F647" s="21"/>
    </row>
    <row r="648" spans="2:6">
      <c r="B648" s="19"/>
      <c r="C648" s="19"/>
      <c r="D648" s="20"/>
      <c r="E648" s="21"/>
      <c r="F648" s="21"/>
    </row>
    <row r="649" spans="2:6">
      <c r="B649" s="19"/>
      <c r="C649" s="19"/>
      <c r="D649" s="20"/>
      <c r="E649" s="21"/>
      <c r="F649" s="21"/>
    </row>
    <row r="650" spans="2:6">
      <c r="B650" s="19"/>
      <c r="C650" s="19"/>
      <c r="D650" s="20"/>
      <c r="E650" s="21"/>
      <c r="F650" s="21"/>
    </row>
    <row r="651" spans="2:6">
      <c r="B651" s="19"/>
      <c r="C651" s="19"/>
      <c r="D651" s="20"/>
      <c r="E651" s="21"/>
      <c r="F651" s="21"/>
    </row>
    <row r="652" spans="2:6">
      <c r="B652" s="19"/>
      <c r="C652" s="19"/>
      <c r="D652" s="20"/>
      <c r="E652" s="21"/>
      <c r="F652" s="21"/>
    </row>
    <row r="653" spans="2:6">
      <c r="B653" s="19"/>
      <c r="C653" s="19"/>
      <c r="D653" s="20"/>
      <c r="E653" s="21"/>
      <c r="F653" s="21"/>
    </row>
    <row r="654" spans="2:6">
      <c r="B654" s="19"/>
      <c r="C654" s="19"/>
      <c r="D654" s="20"/>
      <c r="E654" s="21"/>
      <c r="F654" s="21"/>
    </row>
    <row r="655" spans="2:6">
      <c r="B655" s="19"/>
      <c r="C655" s="19"/>
      <c r="D655" s="20"/>
      <c r="E655" s="21"/>
      <c r="F655" s="21"/>
    </row>
    <row r="656" spans="2:6">
      <c r="B656" s="19"/>
      <c r="C656" s="19"/>
      <c r="D656" s="20"/>
      <c r="E656" s="21"/>
      <c r="F656" s="21"/>
    </row>
    <row r="657" spans="2:6">
      <c r="B657" s="19"/>
      <c r="C657" s="19"/>
      <c r="D657" s="20"/>
      <c r="E657" s="21"/>
      <c r="F657" s="21"/>
    </row>
    <row r="658" spans="2:6">
      <c r="B658" s="19"/>
      <c r="C658" s="19"/>
      <c r="D658" s="20"/>
      <c r="E658" s="21"/>
      <c r="F658" s="21"/>
    </row>
    <row r="659" spans="2:6">
      <c r="B659" s="19"/>
      <c r="C659" s="19"/>
      <c r="D659" s="20"/>
      <c r="E659" s="21"/>
      <c r="F659" s="21"/>
    </row>
    <row r="660" spans="2:6">
      <c r="B660" s="19"/>
      <c r="C660" s="19"/>
      <c r="D660" s="20"/>
      <c r="E660" s="21"/>
      <c r="F660" s="21"/>
    </row>
    <row r="661" spans="2:6">
      <c r="B661" s="19"/>
      <c r="C661" s="19"/>
      <c r="D661" s="20"/>
      <c r="E661" s="21"/>
      <c r="F661" s="21"/>
    </row>
    <row r="662" spans="2:6">
      <c r="B662" s="19"/>
      <c r="C662" s="19"/>
      <c r="D662" s="20"/>
      <c r="E662" s="21"/>
      <c r="F662" s="21"/>
    </row>
    <row r="663" spans="2:6">
      <c r="B663" s="19"/>
      <c r="C663" s="19"/>
      <c r="D663" s="20"/>
      <c r="E663" s="21"/>
      <c r="F663" s="21"/>
    </row>
    <row r="664" spans="2:6">
      <c r="B664" s="19"/>
      <c r="C664" s="19"/>
      <c r="D664" s="20"/>
      <c r="E664" s="21"/>
      <c r="F664" s="21"/>
    </row>
    <row r="665" spans="2:6">
      <c r="B665" s="19"/>
      <c r="C665" s="19"/>
      <c r="D665" s="20"/>
      <c r="E665" s="21"/>
      <c r="F665" s="21"/>
    </row>
    <row r="666" spans="2:6">
      <c r="B666" s="19"/>
      <c r="C666" s="19"/>
      <c r="D666" s="20"/>
      <c r="E666" s="21"/>
      <c r="F666" s="21"/>
    </row>
    <row r="667" spans="2:6">
      <c r="B667" s="19"/>
      <c r="C667" s="19"/>
      <c r="D667" s="20"/>
      <c r="E667" s="21"/>
      <c r="F667" s="21"/>
    </row>
    <row r="668" spans="2:6">
      <c r="B668" s="19"/>
      <c r="C668" s="19"/>
      <c r="D668" s="20"/>
      <c r="E668" s="21"/>
      <c r="F668" s="21"/>
    </row>
    <row r="669" spans="2:6">
      <c r="B669" s="19"/>
      <c r="C669" s="19"/>
      <c r="D669" s="20"/>
      <c r="E669" s="21"/>
      <c r="F669" s="21"/>
    </row>
    <row r="670" spans="2:6">
      <c r="B670" s="19"/>
      <c r="C670" s="19"/>
      <c r="D670" s="20"/>
      <c r="E670" s="21"/>
      <c r="F670" s="21"/>
    </row>
    <row r="671" spans="2:6">
      <c r="B671" s="19"/>
      <c r="C671" s="19"/>
      <c r="D671" s="20"/>
      <c r="E671" s="21"/>
      <c r="F671" s="21"/>
    </row>
    <row r="672" spans="2:6">
      <c r="B672" s="19"/>
      <c r="C672" s="19"/>
      <c r="D672" s="20"/>
      <c r="E672" s="21"/>
      <c r="F672" s="21"/>
    </row>
    <row r="673" spans="2:6">
      <c r="B673" s="19"/>
      <c r="C673" s="19"/>
      <c r="D673" s="20"/>
      <c r="E673" s="21"/>
      <c r="F673" s="21"/>
    </row>
    <row r="674" spans="2:6">
      <c r="B674" s="19"/>
      <c r="C674" s="19"/>
      <c r="D674" s="20"/>
      <c r="E674" s="21"/>
      <c r="F674" s="21"/>
    </row>
    <row r="675" spans="2:6">
      <c r="B675" s="19"/>
      <c r="C675" s="19"/>
      <c r="D675" s="20"/>
      <c r="E675" s="21"/>
      <c r="F675" s="21"/>
    </row>
    <row r="676" spans="2:6">
      <c r="B676" s="19"/>
      <c r="C676" s="19"/>
      <c r="D676" s="20"/>
      <c r="E676" s="21"/>
      <c r="F676" s="21"/>
    </row>
    <row r="677" spans="2:6">
      <c r="B677" s="19"/>
      <c r="C677" s="19"/>
      <c r="D677" s="20"/>
      <c r="E677" s="21"/>
      <c r="F677" s="21"/>
    </row>
    <row r="678" spans="2:6">
      <c r="B678" s="19"/>
      <c r="C678" s="19"/>
      <c r="D678" s="20"/>
      <c r="E678" s="21"/>
      <c r="F678" s="21"/>
    </row>
    <row r="679" spans="2:6">
      <c r="B679" s="19"/>
      <c r="C679" s="19"/>
      <c r="D679" s="20"/>
      <c r="E679" s="21"/>
      <c r="F679" s="21"/>
    </row>
    <row r="680" spans="2:6">
      <c r="B680" s="19"/>
      <c r="C680" s="19"/>
      <c r="D680" s="20"/>
      <c r="E680" s="21"/>
      <c r="F680" s="21"/>
    </row>
    <row r="681" spans="2:6">
      <c r="B681" s="19"/>
      <c r="C681" s="19"/>
      <c r="D681" s="20"/>
      <c r="E681" s="21"/>
      <c r="F681" s="21"/>
    </row>
    <row r="682" spans="2:6">
      <c r="B682" s="19"/>
      <c r="C682" s="19"/>
      <c r="D682" s="20"/>
      <c r="E682" s="21"/>
      <c r="F682" s="21"/>
    </row>
    <row r="683" spans="2:6">
      <c r="B683" s="19"/>
      <c r="C683" s="19"/>
      <c r="D683" s="20"/>
      <c r="E683" s="21"/>
      <c r="F683" s="21"/>
    </row>
    <row r="684" spans="2:6">
      <c r="B684" s="19"/>
      <c r="C684" s="19"/>
      <c r="D684" s="20"/>
      <c r="E684" s="21"/>
      <c r="F684" s="21"/>
    </row>
    <row r="685" spans="2:6">
      <c r="B685" s="19"/>
      <c r="C685" s="19"/>
      <c r="D685" s="20"/>
      <c r="E685" s="21"/>
      <c r="F685" s="21"/>
    </row>
    <row r="686" spans="2:6">
      <c r="B686" s="19"/>
      <c r="C686" s="19"/>
      <c r="D686" s="20"/>
      <c r="E686" s="21"/>
      <c r="F686" s="21"/>
    </row>
    <row r="687" spans="2:6">
      <c r="B687" s="19"/>
      <c r="C687" s="19"/>
      <c r="D687" s="20"/>
      <c r="E687" s="21"/>
      <c r="F687" s="21"/>
    </row>
    <row r="688" spans="2:6">
      <c r="B688" s="19"/>
      <c r="C688" s="19"/>
      <c r="D688" s="20"/>
      <c r="E688" s="21"/>
      <c r="F688" s="21"/>
    </row>
    <row r="689" spans="2:6">
      <c r="B689" s="19"/>
      <c r="C689" s="19"/>
      <c r="D689" s="20"/>
      <c r="E689" s="21"/>
      <c r="F689" s="21"/>
    </row>
    <row r="690" spans="2:6">
      <c r="B690" s="19"/>
      <c r="C690" s="19"/>
      <c r="D690" s="20"/>
      <c r="E690" s="21"/>
      <c r="F690" s="21"/>
    </row>
    <row r="691" spans="2:6">
      <c r="B691" s="19"/>
      <c r="C691" s="19"/>
      <c r="D691" s="20"/>
      <c r="E691" s="21"/>
      <c r="F691" s="21"/>
    </row>
    <row r="692" spans="2:6">
      <c r="B692" s="19"/>
      <c r="C692" s="19"/>
      <c r="D692" s="20"/>
      <c r="E692" s="21"/>
      <c r="F692" s="21"/>
    </row>
    <row r="693" spans="2:6">
      <c r="B693" s="19"/>
      <c r="C693" s="19"/>
      <c r="D693" s="20"/>
      <c r="E693" s="21"/>
      <c r="F693" s="21"/>
    </row>
    <row r="694" spans="2:6">
      <c r="B694" s="19"/>
      <c r="C694" s="19"/>
      <c r="D694" s="20"/>
      <c r="E694" s="21"/>
      <c r="F694" s="21"/>
    </row>
    <row r="695" spans="2:6">
      <c r="B695" s="19"/>
      <c r="C695" s="19"/>
      <c r="D695" s="20"/>
      <c r="E695" s="21"/>
      <c r="F695" s="21"/>
    </row>
    <row r="696" spans="2:6">
      <c r="B696" s="19"/>
      <c r="C696" s="19"/>
      <c r="D696" s="20"/>
      <c r="E696" s="21"/>
      <c r="F696" s="21"/>
    </row>
    <row r="697" spans="2:6">
      <c r="B697" s="19"/>
      <c r="C697" s="19"/>
      <c r="D697" s="20"/>
      <c r="E697" s="21"/>
      <c r="F697" s="21"/>
    </row>
    <row r="698" spans="2:6">
      <c r="B698" s="19"/>
      <c r="C698" s="19"/>
      <c r="D698" s="20"/>
      <c r="E698" s="21"/>
      <c r="F698" s="21"/>
    </row>
    <row r="699" spans="2:6">
      <c r="B699" s="19"/>
      <c r="C699" s="19"/>
      <c r="D699" s="20"/>
      <c r="E699" s="21"/>
      <c r="F699" s="21"/>
    </row>
    <row r="700" spans="2:6">
      <c r="B700" s="19"/>
      <c r="C700" s="19"/>
      <c r="D700" s="20"/>
      <c r="E700" s="21"/>
      <c r="F700" s="21"/>
    </row>
    <row r="701" spans="2:6">
      <c r="B701" s="19"/>
      <c r="C701" s="19"/>
      <c r="D701" s="20"/>
      <c r="E701" s="21"/>
      <c r="F701" s="21"/>
    </row>
    <row r="702" spans="2:6">
      <c r="B702" s="19"/>
      <c r="C702" s="19"/>
      <c r="D702" s="20"/>
      <c r="E702" s="21"/>
      <c r="F702" s="21"/>
    </row>
    <row r="703" spans="2:6">
      <c r="B703" s="19"/>
      <c r="C703" s="19"/>
      <c r="D703" s="20"/>
      <c r="E703" s="21"/>
      <c r="F703" s="21"/>
    </row>
    <row r="704" spans="2:6">
      <c r="B704" s="19"/>
      <c r="C704" s="19"/>
      <c r="D704" s="20"/>
      <c r="E704" s="21"/>
      <c r="F704" s="21"/>
    </row>
    <row r="705" spans="2:6">
      <c r="B705" s="19"/>
      <c r="C705" s="19"/>
      <c r="D705" s="20"/>
      <c r="E705" s="21"/>
      <c r="F705" s="21"/>
    </row>
    <row r="706" spans="2:6">
      <c r="B706" s="19"/>
      <c r="C706" s="19"/>
      <c r="D706" s="20"/>
      <c r="E706" s="21"/>
      <c r="F706" s="21"/>
    </row>
    <row r="707" spans="2:6">
      <c r="B707" s="19"/>
      <c r="C707" s="19"/>
      <c r="D707" s="20"/>
      <c r="E707" s="21"/>
      <c r="F707" s="21"/>
    </row>
    <row r="708" spans="2:6">
      <c r="B708" s="19"/>
      <c r="C708" s="19"/>
      <c r="D708" s="20"/>
      <c r="E708" s="21"/>
      <c r="F708" s="21"/>
    </row>
    <row r="709" spans="2:6">
      <c r="B709" s="19"/>
      <c r="C709" s="19"/>
      <c r="D709" s="20"/>
      <c r="E709" s="21"/>
      <c r="F709" s="21"/>
    </row>
    <row r="710" spans="2:6">
      <c r="B710" s="19"/>
      <c r="C710" s="19"/>
      <c r="D710" s="20"/>
      <c r="E710" s="21"/>
      <c r="F710" s="21"/>
    </row>
    <row r="711" spans="2:6">
      <c r="B711" s="19"/>
      <c r="C711" s="19"/>
      <c r="D711" s="20"/>
      <c r="E711" s="21"/>
      <c r="F711" s="21"/>
    </row>
    <row r="712" spans="2:6">
      <c r="B712" s="19"/>
      <c r="C712" s="19"/>
      <c r="D712" s="20"/>
      <c r="E712" s="21"/>
      <c r="F712" s="21"/>
    </row>
    <row r="713" spans="2:6">
      <c r="B713" s="19"/>
      <c r="C713" s="19"/>
      <c r="D713" s="20"/>
      <c r="E713" s="21"/>
      <c r="F713" s="21"/>
    </row>
    <row r="714" spans="2:6">
      <c r="B714" s="19"/>
      <c r="C714" s="19"/>
      <c r="D714" s="20"/>
      <c r="E714" s="21"/>
      <c r="F714" s="21"/>
    </row>
    <row r="715" spans="2:6">
      <c r="B715" s="19"/>
      <c r="C715" s="19"/>
      <c r="D715" s="20"/>
      <c r="E715" s="21"/>
      <c r="F715" s="21"/>
    </row>
    <row r="716" spans="2:6">
      <c r="B716" s="19"/>
      <c r="C716" s="19"/>
      <c r="D716" s="20"/>
      <c r="E716" s="21"/>
      <c r="F716" s="21"/>
    </row>
    <row r="717" spans="2:6">
      <c r="B717" s="19"/>
      <c r="C717" s="19"/>
      <c r="D717" s="20"/>
      <c r="E717" s="21"/>
      <c r="F717" s="21"/>
    </row>
    <row r="718" spans="2:6">
      <c r="B718" s="19"/>
      <c r="C718" s="19"/>
      <c r="D718" s="20"/>
      <c r="E718" s="21"/>
      <c r="F718" s="21"/>
    </row>
    <row r="719" spans="2:6">
      <c r="B719" s="19"/>
      <c r="C719" s="19"/>
      <c r="D719" s="20"/>
      <c r="E719" s="21"/>
      <c r="F719" s="21"/>
    </row>
    <row r="720" spans="2:6">
      <c r="B720" s="19"/>
      <c r="C720" s="19"/>
      <c r="D720" s="20"/>
      <c r="E720" s="21"/>
      <c r="F720" s="21"/>
    </row>
    <row r="721" spans="2:6">
      <c r="B721" s="19"/>
      <c r="C721" s="19"/>
      <c r="D721" s="20"/>
      <c r="E721" s="21"/>
      <c r="F721" s="21"/>
    </row>
    <row r="722" spans="2:6">
      <c r="B722" s="19"/>
      <c r="C722" s="19"/>
      <c r="D722" s="20"/>
      <c r="E722" s="21"/>
      <c r="F722" s="21"/>
    </row>
    <row r="723" spans="2:6">
      <c r="B723" s="19"/>
      <c r="C723" s="19"/>
      <c r="D723" s="20"/>
      <c r="E723" s="21"/>
      <c r="F723" s="21"/>
    </row>
    <row r="724" spans="2:6">
      <c r="B724" s="19"/>
      <c r="C724" s="19"/>
      <c r="D724" s="20"/>
      <c r="E724" s="21"/>
      <c r="F724" s="21"/>
    </row>
    <row r="725" spans="2:6">
      <c r="B725" s="19"/>
      <c r="C725" s="19"/>
      <c r="D725" s="20"/>
      <c r="E725" s="21"/>
      <c r="F725" s="21"/>
    </row>
    <row r="726" spans="2:6">
      <c r="B726" s="19"/>
      <c r="C726" s="19"/>
      <c r="D726" s="20"/>
      <c r="E726" s="21"/>
      <c r="F726" s="21"/>
    </row>
    <row r="727" spans="2:6">
      <c r="B727" s="19"/>
      <c r="C727" s="19"/>
      <c r="D727" s="20"/>
      <c r="E727" s="21"/>
      <c r="F727" s="21"/>
    </row>
    <row r="728" spans="2:6">
      <c r="B728" s="19"/>
      <c r="C728" s="19"/>
      <c r="D728" s="20"/>
      <c r="E728" s="21"/>
      <c r="F728" s="21"/>
    </row>
    <row r="729" spans="2:6">
      <c r="B729" s="19"/>
      <c r="C729" s="19"/>
      <c r="D729" s="20"/>
      <c r="E729" s="21"/>
      <c r="F729" s="21"/>
    </row>
    <row r="730" spans="2:6">
      <c r="B730" s="19"/>
      <c r="C730" s="19"/>
      <c r="D730" s="20"/>
      <c r="E730" s="21"/>
      <c r="F730" s="21"/>
    </row>
    <row r="731" spans="2:6">
      <c r="B731" s="19"/>
      <c r="C731" s="19"/>
      <c r="D731" s="20"/>
      <c r="E731" s="21"/>
      <c r="F731" s="21"/>
    </row>
    <row r="732" spans="2:6">
      <c r="B732" s="19"/>
      <c r="C732" s="19"/>
      <c r="D732" s="20"/>
      <c r="E732" s="21"/>
      <c r="F732" s="21"/>
    </row>
    <row r="733" spans="2:6">
      <c r="B733" s="19"/>
      <c r="C733" s="19"/>
      <c r="D733" s="20"/>
      <c r="E733" s="21"/>
      <c r="F733" s="21"/>
    </row>
    <row r="734" spans="2:6">
      <c r="B734" s="19"/>
      <c r="C734" s="19"/>
      <c r="D734" s="20"/>
      <c r="E734" s="21"/>
      <c r="F734" s="21"/>
    </row>
    <row r="735" spans="2:6">
      <c r="B735" s="19"/>
      <c r="C735" s="19"/>
      <c r="D735" s="20"/>
      <c r="E735" s="21"/>
      <c r="F735" s="21"/>
    </row>
    <row r="736" spans="2:6">
      <c r="B736" s="19"/>
      <c r="C736" s="19"/>
      <c r="D736" s="20"/>
      <c r="E736" s="21"/>
      <c r="F736" s="21"/>
    </row>
    <row r="737" spans="2:6">
      <c r="B737" s="19"/>
      <c r="C737" s="19"/>
      <c r="D737" s="20"/>
      <c r="E737" s="21"/>
      <c r="F737" s="21"/>
    </row>
    <row r="738" spans="2:6">
      <c r="B738" s="19"/>
      <c r="C738" s="19"/>
      <c r="D738" s="20"/>
      <c r="E738" s="21"/>
      <c r="F738" s="21"/>
    </row>
    <row r="739" spans="2:6">
      <c r="B739" s="19"/>
      <c r="C739" s="19"/>
      <c r="D739" s="20"/>
      <c r="E739" s="21"/>
      <c r="F739" s="21"/>
    </row>
    <row r="740" spans="2:6">
      <c r="B740" s="19"/>
      <c r="C740" s="19"/>
      <c r="D740" s="20"/>
      <c r="E740" s="21"/>
      <c r="F740" s="21"/>
    </row>
    <row r="741" spans="2:6">
      <c r="B741" s="19"/>
      <c r="C741" s="19"/>
      <c r="D741" s="20"/>
      <c r="E741" s="21"/>
      <c r="F741" s="21"/>
    </row>
    <row r="742" spans="2:6">
      <c r="B742" s="19"/>
      <c r="C742" s="19"/>
      <c r="D742" s="20"/>
      <c r="E742" s="21"/>
      <c r="F742" s="21"/>
    </row>
    <row r="743" spans="2:6">
      <c r="B743" s="19"/>
      <c r="C743" s="19"/>
      <c r="D743" s="20"/>
      <c r="E743" s="21"/>
      <c r="F743" s="21"/>
    </row>
    <row r="744" spans="2:6">
      <c r="B744" s="19"/>
      <c r="C744" s="19"/>
      <c r="D744" s="20"/>
      <c r="E744" s="21"/>
      <c r="F744" s="21"/>
    </row>
    <row r="745" spans="2:6">
      <c r="B745" s="19"/>
      <c r="C745" s="19"/>
      <c r="D745" s="20"/>
      <c r="E745" s="21"/>
      <c r="F745" s="21"/>
    </row>
    <row r="746" spans="2:6">
      <c r="B746" s="19"/>
      <c r="C746" s="19"/>
      <c r="D746" s="20"/>
      <c r="E746" s="21"/>
      <c r="F746" s="21"/>
    </row>
    <row r="747" spans="2:6">
      <c r="B747" s="19"/>
      <c r="C747" s="19"/>
      <c r="D747" s="20"/>
      <c r="E747" s="21"/>
      <c r="F747" s="21"/>
    </row>
    <row r="748" spans="2:6">
      <c r="B748" s="19"/>
      <c r="C748" s="19"/>
      <c r="D748" s="20"/>
      <c r="E748" s="21"/>
      <c r="F748" s="21"/>
    </row>
    <row r="749" spans="2:6">
      <c r="B749" s="19"/>
      <c r="C749" s="19"/>
      <c r="D749" s="20"/>
      <c r="E749" s="21"/>
      <c r="F749" s="21"/>
    </row>
    <row r="750" spans="2:6">
      <c r="B750" s="19"/>
      <c r="C750" s="19"/>
      <c r="D750" s="20"/>
      <c r="E750" s="21"/>
      <c r="F750" s="21"/>
    </row>
    <row r="751" spans="2:6">
      <c r="B751" s="19"/>
      <c r="C751" s="19"/>
      <c r="D751" s="20"/>
      <c r="E751" s="21"/>
      <c r="F751" s="21"/>
    </row>
    <row r="752" spans="2:6">
      <c r="B752" s="19"/>
      <c r="C752" s="19"/>
      <c r="D752" s="20"/>
      <c r="E752" s="21"/>
      <c r="F752" s="21"/>
    </row>
    <row r="753" spans="2:6">
      <c r="B753" s="19"/>
      <c r="C753" s="19"/>
      <c r="D753" s="20"/>
      <c r="E753" s="21"/>
      <c r="F753" s="21"/>
    </row>
    <row r="754" spans="2:6">
      <c r="B754" s="19"/>
      <c r="C754" s="19"/>
      <c r="D754" s="20"/>
      <c r="E754" s="21"/>
      <c r="F754" s="21"/>
    </row>
    <row r="755" spans="2:6">
      <c r="B755" s="19"/>
      <c r="C755" s="19"/>
      <c r="D755" s="20"/>
      <c r="E755" s="21"/>
      <c r="F755" s="21"/>
    </row>
    <row r="756" spans="2:6">
      <c r="B756" s="19"/>
      <c r="C756" s="19"/>
      <c r="D756" s="20"/>
      <c r="E756" s="21"/>
      <c r="F756" s="21"/>
    </row>
    <row r="757" spans="2:6">
      <c r="B757" s="19"/>
      <c r="C757" s="19"/>
      <c r="D757" s="20"/>
      <c r="E757" s="21"/>
      <c r="F757" s="21"/>
    </row>
    <row r="758" spans="2:6">
      <c r="B758" s="19"/>
      <c r="C758" s="19"/>
      <c r="D758" s="20"/>
      <c r="E758" s="21"/>
      <c r="F758" s="21"/>
    </row>
    <row r="759" spans="2:6">
      <c r="B759" s="19"/>
      <c r="C759" s="19"/>
      <c r="D759" s="20"/>
      <c r="E759" s="21"/>
      <c r="F759" s="21"/>
    </row>
    <row r="760" spans="2:6">
      <c r="B760" s="19"/>
      <c r="C760" s="19"/>
      <c r="D760" s="20"/>
      <c r="E760" s="21"/>
      <c r="F760" s="21"/>
    </row>
    <row r="761" spans="2:6">
      <c r="B761" s="19"/>
      <c r="C761" s="19"/>
      <c r="D761" s="20"/>
      <c r="E761" s="21"/>
      <c r="F761" s="21"/>
    </row>
    <row r="762" spans="2:6">
      <c r="B762" s="19"/>
      <c r="C762" s="19"/>
      <c r="D762" s="20"/>
      <c r="E762" s="21"/>
      <c r="F762" s="21"/>
    </row>
    <row r="763" spans="2:6">
      <c r="B763" s="19"/>
      <c r="C763" s="19"/>
      <c r="D763" s="20"/>
      <c r="E763" s="21"/>
      <c r="F763" s="21"/>
    </row>
    <row r="764" spans="2:6">
      <c r="B764" s="19"/>
      <c r="C764" s="19"/>
      <c r="D764" s="20"/>
      <c r="E764" s="21"/>
      <c r="F764" s="21"/>
    </row>
    <row r="765" spans="2:6">
      <c r="B765" s="19"/>
      <c r="C765" s="19"/>
      <c r="D765" s="20"/>
      <c r="E765" s="21"/>
      <c r="F765" s="21"/>
    </row>
    <row r="766" spans="2:6">
      <c r="B766" s="19"/>
      <c r="C766" s="19"/>
      <c r="D766" s="20"/>
      <c r="E766" s="21"/>
      <c r="F766" s="21"/>
    </row>
    <row r="767" spans="2:6">
      <c r="B767" s="19"/>
      <c r="C767" s="19"/>
      <c r="D767" s="20"/>
      <c r="E767" s="21"/>
      <c r="F767" s="21"/>
    </row>
    <row r="768" spans="2:6">
      <c r="B768" s="19"/>
      <c r="C768" s="19"/>
      <c r="D768" s="20"/>
      <c r="E768" s="21"/>
      <c r="F768" s="21"/>
    </row>
    <row r="769" spans="2:6">
      <c r="B769" s="19"/>
      <c r="C769" s="19"/>
      <c r="D769" s="20"/>
      <c r="E769" s="21"/>
      <c r="F769" s="21"/>
    </row>
    <row r="770" spans="2:6">
      <c r="B770" s="19"/>
      <c r="C770" s="19"/>
      <c r="D770" s="20"/>
      <c r="E770" s="21"/>
      <c r="F770" s="21"/>
    </row>
    <row r="771" spans="2:6">
      <c r="B771" s="19"/>
      <c r="C771" s="19"/>
      <c r="D771" s="20"/>
      <c r="E771" s="21"/>
      <c r="F771" s="21"/>
    </row>
    <row r="772" spans="2:6">
      <c r="B772" s="19"/>
      <c r="C772" s="19"/>
      <c r="D772" s="20"/>
      <c r="E772" s="21"/>
      <c r="F772" s="21"/>
    </row>
    <row r="773" spans="2:6">
      <c r="B773" s="19"/>
      <c r="C773" s="19"/>
      <c r="D773" s="20"/>
      <c r="E773" s="21"/>
      <c r="F773" s="21"/>
    </row>
    <row r="774" spans="2:6">
      <c r="B774" s="19"/>
      <c r="C774" s="19"/>
      <c r="D774" s="20"/>
      <c r="E774" s="21"/>
      <c r="F774" s="21"/>
    </row>
    <row r="775" spans="2:6">
      <c r="B775" s="19"/>
      <c r="C775" s="19"/>
      <c r="D775" s="20"/>
      <c r="E775" s="21"/>
      <c r="F775" s="21"/>
    </row>
    <row r="776" spans="2:6">
      <c r="B776" s="19"/>
      <c r="C776" s="19"/>
      <c r="D776" s="20"/>
      <c r="E776" s="21"/>
      <c r="F776" s="21"/>
    </row>
    <row r="777" spans="2:6">
      <c r="B777" s="19"/>
      <c r="C777" s="19"/>
      <c r="D777" s="20"/>
      <c r="E777" s="21"/>
      <c r="F777" s="21"/>
    </row>
    <row r="778" spans="2:6">
      <c r="B778" s="19"/>
      <c r="C778" s="19"/>
      <c r="D778" s="20"/>
      <c r="E778" s="21"/>
      <c r="F778" s="21"/>
    </row>
    <row r="779" spans="2:6">
      <c r="B779" s="19"/>
      <c r="C779" s="19"/>
      <c r="D779" s="20"/>
      <c r="E779" s="21"/>
      <c r="F779" s="21"/>
    </row>
    <row r="780" spans="2:6">
      <c r="B780" s="19"/>
      <c r="C780" s="19"/>
      <c r="D780" s="20"/>
      <c r="E780" s="21"/>
      <c r="F780" s="21"/>
    </row>
    <row r="781" spans="2:6">
      <c r="B781" s="19"/>
      <c r="C781" s="19"/>
      <c r="D781" s="20"/>
      <c r="E781" s="21"/>
      <c r="F781" s="21"/>
    </row>
    <row r="782" spans="2:6">
      <c r="B782" s="19"/>
      <c r="C782" s="19"/>
      <c r="D782" s="20"/>
      <c r="E782" s="21"/>
      <c r="F782" s="21"/>
    </row>
    <row r="783" spans="2:6">
      <c r="B783" s="19"/>
      <c r="C783" s="19"/>
      <c r="D783" s="20"/>
      <c r="E783" s="21"/>
      <c r="F783" s="21"/>
    </row>
    <row r="784" spans="2:6">
      <c r="B784" s="19"/>
      <c r="C784" s="19"/>
      <c r="D784" s="20"/>
      <c r="E784" s="21"/>
      <c r="F784" s="21"/>
    </row>
    <row r="785" spans="2:6">
      <c r="B785" s="19"/>
      <c r="C785" s="19"/>
      <c r="D785" s="20"/>
      <c r="E785" s="21"/>
      <c r="F785" s="21"/>
    </row>
    <row r="786" spans="2:6">
      <c r="B786" s="19"/>
      <c r="C786" s="19"/>
      <c r="D786" s="20"/>
      <c r="E786" s="21"/>
      <c r="F786" s="21"/>
    </row>
    <row r="787" spans="2:6">
      <c r="B787" s="19"/>
      <c r="C787" s="19"/>
      <c r="D787" s="20"/>
      <c r="E787" s="21"/>
      <c r="F787" s="21"/>
    </row>
    <row r="788" spans="2:6">
      <c r="B788" s="19"/>
      <c r="C788" s="19"/>
      <c r="D788" s="20"/>
      <c r="E788" s="21"/>
      <c r="F788" s="21"/>
    </row>
    <row r="789" spans="2:6">
      <c r="B789" s="19"/>
      <c r="C789" s="19"/>
      <c r="D789" s="20"/>
      <c r="E789" s="21"/>
      <c r="F789" s="21"/>
    </row>
    <row r="790" spans="2:6">
      <c r="B790" s="19"/>
      <c r="C790" s="19"/>
      <c r="D790" s="20"/>
      <c r="E790" s="21"/>
      <c r="F790" s="21"/>
    </row>
    <row r="791" spans="2:6">
      <c r="B791" s="19"/>
      <c r="C791" s="19"/>
      <c r="D791" s="20"/>
      <c r="E791" s="21"/>
      <c r="F791" s="21"/>
    </row>
    <row r="792" spans="2:6">
      <c r="B792" s="19"/>
      <c r="C792" s="19"/>
      <c r="D792" s="20"/>
      <c r="E792" s="21"/>
      <c r="F792" s="21"/>
    </row>
    <row r="793" spans="2:6">
      <c r="B793" s="19"/>
      <c r="C793" s="19"/>
      <c r="D793" s="20"/>
      <c r="E793" s="21"/>
      <c r="F793" s="21"/>
    </row>
    <row r="794" spans="2:6">
      <c r="B794" s="19"/>
      <c r="C794" s="19"/>
      <c r="D794" s="20"/>
      <c r="E794" s="21"/>
      <c r="F794" s="21"/>
    </row>
    <row r="795" spans="2:6">
      <c r="B795" s="19"/>
      <c r="C795" s="19"/>
      <c r="D795" s="20"/>
      <c r="E795" s="21"/>
      <c r="F795" s="21"/>
    </row>
    <row r="796" spans="2:6">
      <c r="B796" s="19"/>
      <c r="C796" s="19"/>
      <c r="D796" s="20"/>
      <c r="E796" s="21"/>
      <c r="F796" s="21"/>
    </row>
    <row r="797" spans="2:6">
      <c r="B797" s="19"/>
      <c r="C797" s="19"/>
      <c r="D797" s="20"/>
      <c r="E797" s="21"/>
      <c r="F797" s="21"/>
    </row>
    <row r="798" spans="2:6">
      <c r="B798" s="19"/>
      <c r="C798" s="19"/>
      <c r="D798" s="20"/>
      <c r="E798" s="21"/>
      <c r="F798" s="21"/>
    </row>
    <row r="799" spans="2:6">
      <c r="B799" s="19"/>
      <c r="C799" s="19"/>
      <c r="D799" s="20"/>
      <c r="E799" s="21"/>
      <c r="F799" s="21"/>
    </row>
    <row r="800" spans="2:6">
      <c r="B800" s="19"/>
      <c r="C800" s="19"/>
      <c r="D800" s="20"/>
      <c r="E800" s="21"/>
      <c r="F800" s="21"/>
    </row>
    <row r="801" spans="2:6">
      <c r="B801" s="19"/>
      <c r="C801" s="19"/>
      <c r="D801" s="20"/>
      <c r="E801" s="21"/>
      <c r="F801" s="21"/>
    </row>
    <row r="802" spans="2:6">
      <c r="B802" s="19"/>
      <c r="C802" s="19"/>
      <c r="D802" s="20"/>
      <c r="E802" s="21"/>
      <c r="F802" s="21"/>
    </row>
    <row r="803" spans="2:6">
      <c r="B803" s="19"/>
      <c r="C803" s="19"/>
      <c r="D803" s="20"/>
      <c r="E803" s="21"/>
      <c r="F803" s="21"/>
    </row>
    <row r="804" spans="2:6">
      <c r="B804" s="19"/>
      <c r="C804" s="19"/>
      <c r="D804" s="20"/>
      <c r="E804" s="21"/>
      <c r="F804" s="21"/>
    </row>
    <row r="805" spans="2:6">
      <c r="B805" s="19"/>
      <c r="C805" s="19"/>
      <c r="D805" s="20"/>
      <c r="E805" s="21"/>
      <c r="F805" s="21"/>
    </row>
    <row r="806" spans="2:6">
      <c r="B806" s="19"/>
      <c r="C806" s="19"/>
      <c r="D806" s="20"/>
      <c r="E806" s="21"/>
      <c r="F806" s="21"/>
    </row>
    <row r="807" spans="2:6">
      <c r="B807" s="19"/>
      <c r="C807" s="19"/>
      <c r="D807" s="20"/>
      <c r="E807" s="21"/>
      <c r="F807" s="21"/>
    </row>
    <row r="808" spans="2:6">
      <c r="B808" s="19"/>
      <c r="C808" s="19"/>
      <c r="D808" s="20"/>
      <c r="E808" s="21"/>
      <c r="F808" s="21"/>
    </row>
    <row r="809" spans="2:6">
      <c r="B809" s="19"/>
      <c r="C809" s="19"/>
      <c r="D809" s="20"/>
      <c r="E809" s="21"/>
      <c r="F809" s="21"/>
    </row>
    <row r="810" spans="2:6">
      <c r="B810" s="19"/>
      <c r="C810" s="19"/>
      <c r="D810" s="20"/>
      <c r="E810" s="21"/>
      <c r="F810" s="21"/>
    </row>
    <row r="811" spans="2:6">
      <c r="B811" s="19"/>
      <c r="C811" s="19"/>
      <c r="D811" s="20"/>
      <c r="E811" s="21"/>
      <c r="F811" s="21"/>
    </row>
    <row r="812" spans="2:6">
      <c r="B812" s="19"/>
      <c r="C812" s="19"/>
      <c r="D812" s="20"/>
      <c r="E812" s="21"/>
      <c r="F812" s="21"/>
    </row>
    <row r="813" spans="2:6">
      <c r="B813" s="19"/>
      <c r="C813" s="19"/>
      <c r="D813" s="20"/>
      <c r="E813" s="21"/>
      <c r="F813" s="21"/>
    </row>
    <row r="814" spans="2:6">
      <c r="B814" s="19"/>
      <c r="C814" s="19"/>
      <c r="D814" s="20"/>
      <c r="E814" s="21"/>
      <c r="F814" s="21"/>
    </row>
    <row r="815" spans="2:6">
      <c r="B815" s="19"/>
      <c r="C815" s="19"/>
      <c r="D815" s="20"/>
      <c r="E815" s="21"/>
      <c r="F815" s="21"/>
    </row>
    <row r="816" spans="2:6">
      <c r="B816" s="19"/>
      <c r="C816" s="19"/>
      <c r="D816" s="20"/>
      <c r="E816" s="21"/>
      <c r="F816" s="21"/>
    </row>
    <row r="817" spans="2:6">
      <c r="B817" s="19"/>
      <c r="C817" s="19"/>
      <c r="D817" s="20"/>
      <c r="E817" s="21"/>
      <c r="F817" s="21"/>
    </row>
    <row r="818" spans="2:6">
      <c r="B818" s="19"/>
      <c r="C818" s="19"/>
      <c r="D818" s="20"/>
      <c r="E818" s="21"/>
      <c r="F818" s="21"/>
    </row>
    <row r="819" spans="2:6">
      <c r="B819" s="19"/>
      <c r="C819" s="19"/>
      <c r="D819" s="20"/>
      <c r="E819" s="21"/>
      <c r="F819" s="21"/>
    </row>
    <row r="820" spans="2:6">
      <c r="B820" s="19"/>
      <c r="C820" s="19"/>
      <c r="D820" s="20"/>
      <c r="E820" s="21"/>
      <c r="F820" s="21"/>
    </row>
    <row r="821" spans="2:6">
      <c r="B821" s="19"/>
      <c r="C821" s="19"/>
      <c r="D821" s="20"/>
      <c r="E821" s="21"/>
      <c r="F821" s="21"/>
    </row>
    <row r="822" spans="2:6">
      <c r="B822" s="19"/>
      <c r="C822" s="19"/>
      <c r="D822" s="20"/>
      <c r="E822" s="21"/>
      <c r="F822" s="21"/>
    </row>
    <row r="823" spans="2:6">
      <c r="B823" s="19"/>
      <c r="C823" s="19"/>
      <c r="D823" s="20"/>
      <c r="E823" s="21"/>
      <c r="F823" s="21"/>
    </row>
    <row r="824" spans="2:6">
      <c r="B824" s="19"/>
      <c r="C824" s="19"/>
      <c r="D824" s="20"/>
      <c r="E824" s="21"/>
      <c r="F824" s="21"/>
    </row>
    <row r="825" spans="2:6">
      <c r="B825" s="19"/>
      <c r="C825" s="19"/>
      <c r="D825" s="20"/>
      <c r="E825" s="21"/>
      <c r="F825" s="21"/>
    </row>
    <row r="826" spans="2:6">
      <c r="B826" s="19"/>
      <c r="C826" s="19"/>
      <c r="D826" s="20"/>
      <c r="E826" s="21"/>
      <c r="F826" s="21"/>
    </row>
    <row r="827" spans="2:6">
      <c r="B827" s="19"/>
      <c r="C827" s="19"/>
      <c r="D827" s="20"/>
      <c r="E827" s="21"/>
      <c r="F827" s="21"/>
    </row>
    <row r="828" spans="2:6">
      <c r="B828" s="19"/>
      <c r="C828" s="19"/>
      <c r="D828" s="20"/>
      <c r="E828" s="21"/>
      <c r="F828" s="21"/>
    </row>
    <row r="829" spans="2:6">
      <c r="B829" s="19"/>
      <c r="C829" s="19"/>
      <c r="D829" s="20"/>
      <c r="E829" s="21"/>
      <c r="F829" s="21"/>
    </row>
    <row r="830" spans="2:6">
      <c r="B830" s="19"/>
      <c r="C830" s="19"/>
      <c r="D830" s="20"/>
      <c r="E830" s="21"/>
      <c r="F830" s="21"/>
    </row>
    <row r="831" spans="2:6">
      <c r="B831" s="19"/>
      <c r="C831" s="19"/>
      <c r="D831" s="20"/>
      <c r="E831" s="21"/>
      <c r="F831" s="21"/>
    </row>
    <row r="832" spans="2:6">
      <c r="B832" s="19"/>
      <c r="C832" s="19"/>
      <c r="D832" s="20"/>
      <c r="E832" s="21"/>
      <c r="F832" s="21"/>
    </row>
    <row r="833" spans="2:6">
      <c r="B833" s="19"/>
      <c r="C833" s="19"/>
      <c r="D833" s="20"/>
      <c r="E833" s="21"/>
      <c r="F833" s="21"/>
    </row>
    <row r="834" spans="2:6">
      <c r="B834" s="19"/>
      <c r="C834" s="19"/>
      <c r="D834" s="20"/>
      <c r="E834" s="21"/>
      <c r="F834" s="21"/>
    </row>
    <row r="835" spans="2:6">
      <c r="B835" s="19"/>
      <c r="C835" s="19"/>
      <c r="D835" s="20"/>
      <c r="E835" s="21"/>
      <c r="F835" s="21"/>
    </row>
    <row r="836" spans="2:6">
      <c r="B836" s="19"/>
      <c r="C836" s="19"/>
      <c r="D836" s="20"/>
      <c r="E836" s="21"/>
      <c r="F836" s="21"/>
    </row>
    <row r="837" spans="2:6">
      <c r="B837" s="19"/>
      <c r="C837" s="19"/>
      <c r="D837" s="20"/>
      <c r="E837" s="21"/>
      <c r="F837" s="21"/>
    </row>
    <row r="838" spans="2:6">
      <c r="B838" s="19"/>
      <c r="C838" s="19"/>
      <c r="D838" s="20"/>
      <c r="E838" s="21"/>
      <c r="F838" s="21"/>
    </row>
    <row r="839" spans="2:6">
      <c r="B839" s="19"/>
      <c r="C839" s="19"/>
      <c r="D839" s="20"/>
      <c r="E839" s="21"/>
      <c r="F839" s="21"/>
    </row>
    <row r="840" spans="2:6">
      <c r="B840" s="19"/>
      <c r="C840" s="19"/>
      <c r="D840" s="20"/>
      <c r="E840" s="21"/>
      <c r="F840" s="21"/>
    </row>
    <row r="841" spans="2:6">
      <c r="B841" s="19"/>
      <c r="C841" s="19"/>
      <c r="D841" s="20"/>
      <c r="E841" s="21"/>
      <c r="F841" s="21"/>
    </row>
    <row r="842" spans="2:6">
      <c r="B842" s="19"/>
      <c r="C842" s="19"/>
      <c r="D842" s="20"/>
      <c r="E842" s="21"/>
      <c r="F842" s="21"/>
    </row>
    <row r="843" spans="2:6">
      <c r="B843" s="19"/>
      <c r="C843" s="19"/>
      <c r="D843" s="20"/>
      <c r="E843" s="21"/>
      <c r="F843" s="21"/>
    </row>
    <row r="844" spans="2:6">
      <c r="B844" s="19"/>
      <c r="C844" s="19"/>
      <c r="D844" s="20"/>
      <c r="E844" s="21"/>
      <c r="F844" s="21"/>
    </row>
    <row r="845" spans="2:6">
      <c r="B845" s="19"/>
      <c r="C845" s="19"/>
      <c r="D845" s="20"/>
      <c r="E845" s="21"/>
      <c r="F845" s="21"/>
    </row>
    <row r="846" spans="2:6">
      <c r="B846" s="19"/>
      <c r="C846" s="19"/>
      <c r="D846" s="20"/>
      <c r="E846" s="21"/>
      <c r="F846" s="21"/>
    </row>
    <row r="847" spans="2:6">
      <c r="B847" s="19"/>
      <c r="C847" s="19"/>
      <c r="D847" s="20"/>
      <c r="E847" s="21"/>
      <c r="F847" s="21"/>
    </row>
    <row r="848" spans="2:6">
      <c r="B848" s="19"/>
      <c r="C848" s="19"/>
      <c r="D848" s="20"/>
      <c r="E848" s="21"/>
      <c r="F848" s="21"/>
    </row>
    <row r="849" spans="2:6">
      <c r="B849" s="19"/>
      <c r="C849" s="19"/>
      <c r="D849" s="20"/>
      <c r="E849" s="21"/>
      <c r="F849" s="21"/>
    </row>
    <row r="850" spans="2:6">
      <c r="B850" s="19"/>
      <c r="C850" s="19"/>
      <c r="D850" s="20"/>
      <c r="E850" s="21"/>
      <c r="F850" s="21"/>
    </row>
    <row r="851" spans="2:6">
      <c r="B851" s="19"/>
      <c r="C851" s="19"/>
      <c r="D851" s="20"/>
      <c r="E851" s="21"/>
      <c r="F851" s="21"/>
    </row>
    <row r="852" spans="2:6">
      <c r="B852" s="19"/>
      <c r="C852" s="19"/>
      <c r="D852" s="20"/>
      <c r="E852" s="21"/>
      <c r="F852" s="21"/>
    </row>
    <row r="853" spans="2:6">
      <c r="B853" s="19"/>
      <c r="C853" s="19"/>
      <c r="D853" s="20"/>
      <c r="E853" s="21"/>
      <c r="F853" s="21"/>
    </row>
    <row r="854" spans="2:6">
      <c r="B854" s="19"/>
      <c r="C854" s="19"/>
      <c r="D854" s="20"/>
      <c r="E854" s="21"/>
      <c r="F854" s="21"/>
    </row>
    <row r="855" spans="2:6">
      <c r="B855" s="19"/>
      <c r="C855" s="19"/>
      <c r="D855" s="20"/>
      <c r="E855" s="21"/>
      <c r="F855" s="21"/>
    </row>
    <row r="856" spans="2:6">
      <c r="B856" s="19"/>
      <c r="C856" s="19"/>
      <c r="D856" s="20"/>
      <c r="E856" s="21"/>
      <c r="F856" s="21"/>
    </row>
    <row r="857" spans="2:6">
      <c r="B857" s="19"/>
      <c r="C857" s="19"/>
      <c r="D857" s="20"/>
      <c r="E857" s="21"/>
      <c r="F857" s="21"/>
    </row>
    <row r="858" spans="2:6">
      <c r="B858" s="19"/>
      <c r="C858" s="19"/>
      <c r="D858" s="20"/>
      <c r="E858" s="21"/>
      <c r="F858" s="21"/>
    </row>
    <row r="859" spans="2:6">
      <c r="B859" s="19"/>
      <c r="C859" s="19"/>
      <c r="D859" s="20"/>
      <c r="E859" s="21"/>
      <c r="F859" s="21"/>
    </row>
    <row r="860" spans="2:6">
      <c r="B860" s="19"/>
      <c r="C860" s="19"/>
      <c r="D860" s="20"/>
      <c r="E860" s="21"/>
      <c r="F860" s="21"/>
    </row>
    <row r="861" spans="2:6">
      <c r="B861" s="19"/>
      <c r="C861" s="19"/>
      <c r="D861" s="20"/>
      <c r="E861" s="21"/>
      <c r="F861" s="21"/>
    </row>
    <row r="862" spans="2:6">
      <c r="B862" s="19"/>
      <c r="C862" s="19"/>
      <c r="D862" s="20"/>
      <c r="E862" s="21"/>
      <c r="F862" s="21"/>
    </row>
    <row r="863" spans="2:6">
      <c r="B863" s="19"/>
      <c r="C863" s="19"/>
      <c r="D863" s="20"/>
      <c r="E863" s="21"/>
      <c r="F863" s="21"/>
    </row>
    <row r="864" spans="2:6">
      <c r="B864" s="19"/>
      <c r="C864" s="19"/>
      <c r="D864" s="20"/>
      <c r="E864" s="21"/>
      <c r="F864" s="21"/>
    </row>
    <row r="865" spans="2:6">
      <c r="B865" s="19"/>
      <c r="C865" s="19"/>
      <c r="D865" s="20"/>
      <c r="E865" s="21"/>
      <c r="F865" s="21"/>
    </row>
    <row r="866" spans="2:6">
      <c r="B866" s="19"/>
      <c r="C866" s="19"/>
      <c r="D866" s="20"/>
      <c r="E866" s="21"/>
      <c r="F866" s="21"/>
    </row>
    <row r="867" spans="2:6">
      <c r="B867" s="19"/>
      <c r="C867" s="19"/>
      <c r="D867" s="20"/>
      <c r="E867" s="21"/>
      <c r="F867" s="21"/>
    </row>
    <row r="868" spans="2:6">
      <c r="B868" s="19"/>
      <c r="C868" s="19"/>
      <c r="D868" s="20"/>
      <c r="E868" s="21"/>
      <c r="F868" s="21"/>
    </row>
    <row r="869" spans="2:6">
      <c r="B869" s="19"/>
      <c r="C869" s="19"/>
      <c r="D869" s="20"/>
      <c r="E869" s="21"/>
      <c r="F869" s="21"/>
    </row>
    <row r="870" spans="2:6">
      <c r="B870" s="19"/>
      <c r="C870" s="19"/>
      <c r="D870" s="20"/>
      <c r="E870" s="21"/>
      <c r="F870" s="21"/>
    </row>
    <row r="871" spans="2:6">
      <c r="B871" s="19"/>
      <c r="C871" s="19"/>
      <c r="D871" s="20"/>
      <c r="E871" s="21"/>
      <c r="F871" s="21"/>
    </row>
    <row r="872" spans="2:6">
      <c r="B872" s="19"/>
      <c r="C872" s="19"/>
      <c r="D872" s="20"/>
      <c r="E872" s="21"/>
      <c r="F872" s="21"/>
    </row>
    <row r="873" spans="2:6">
      <c r="B873" s="19"/>
      <c r="C873" s="19"/>
      <c r="D873" s="20"/>
      <c r="E873" s="21"/>
      <c r="F873" s="21"/>
    </row>
    <row r="874" spans="2:6">
      <c r="B874" s="19"/>
      <c r="C874" s="19"/>
      <c r="D874" s="20"/>
      <c r="E874" s="21"/>
      <c r="F874" s="21"/>
    </row>
    <row r="875" spans="2:6">
      <c r="B875" s="19"/>
      <c r="C875" s="19"/>
      <c r="D875" s="20"/>
      <c r="E875" s="21"/>
      <c r="F875" s="21"/>
    </row>
    <row r="876" spans="2:6">
      <c r="B876" s="19"/>
      <c r="C876" s="19"/>
      <c r="D876" s="20"/>
      <c r="E876" s="21"/>
      <c r="F876" s="21"/>
    </row>
    <row r="877" spans="2:6">
      <c r="B877" s="19"/>
      <c r="C877" s="19"/>
      <c r="D877" s="20"/>
      <c r="E877" s="21"/>
      <c r="F877" s="21"/>
    </row>
    <row r="878" spans="2:6">
      <c r="B878" s="19"/>
      <c r="C878" s="19"/>
      <c r="D878" s="20"/>
      <c r="E878" s="21"/>
      <c r="F878" s="21"/>
    </row>
    <row r="879" spans="2:6">
      <c r="B879" s="19"/>
      <c r="C879" s="19"/>
      <c r="D879" s="20"/>
      <c r="E879" s="21"/>
      <c r="F879" s="21"/>
    </row>
    <row r="880" spans="2:6">
      <c r="B880" s="19"/>
      <c r="C880" s="19"/>
      <c r="D880" s="20"/>
      <c r="E880" s="21"/>
      <c r="F880" s="21"/>
    </row>
    <row r="881" spans="2:6">
      <c r="B881" s="19"/>
      <c r="C881" s="19"/>
      <c r="D881" s="20"/>
      <c r="E881" s="21"/>
      <c r="F881" s="21"/>
    </row>
    <row r="882" spans="2:6">
      <c r="B882" s="19"/>
      <c r="C882" s="19"/>
      <c r="D882" s="20"/>
      <c r="E882" s="21"/>
      <c r="F882" s="21"/>
    </row>
    <row r="883" spans="2:6">
      <c r="B883" s="19"/>
      <c r="C883" s="19"/>
      <c r="D883" s="20"/>
      <c r="E883" s="21"/>
      <c r="F883" s="21"/>
    </row>
    <row r="884" spans="2:6">
      <c r="B884" s="19"/>
      <c r="C884" s="19"/>
      <c r="D884" s="20"/>
      <c r="E884" s="21"/>
      <c r="F884" s="21"/>
    </row>
    <row r="885" spans="2:6">
      <c r="B885" s="19"/>
      <c r="C885" s="19"/>
      <c r="D885" s="20"/>
      <c r="E885" s="21"/>
      <c r="F885" s="21"/>
    </row>
    <row r="886" spans="2:6">
      <c r="B886" s="19"/>
      <c r="C886" s="19"/>
      <c r="D886" s="20"/>
      <c r="E886" s="21"/>
      <c r="F886" s="21"/>
    </row>
    <row r="887" spans="2:6">
      <c r="B887" s="19"/>
      <c r="C887" s="19"/>
      <c r="D887" s="20"/>
      <c r="E887" s="21"/>
      <c r="F887" s="21"/>
    </row>
    <row r="888" spans="2:6">
      <c r="B888" s="19"/>
      <c r="C888" s="19"/>
      <c r="D888" s="20"/>
      <c r="E888" s="21"/>
      <c r="F888" s="21"/>
    </row>
    <row r="889" spans="2:6">
      <c r="B889" s="19"/>
      <c r="C889" s="19"/>
      <c r="D889" s="20"/>
      <c r="E889" s="21"/>
      <c r="F889" s="21"/>
    </row>
    <row r="890" spans="2:6">
      <c r="B890" s="19"/>
      <c r="C890" s="19"/>
      <c r="D890" s="20"/>
      <c r="E890" s="21"/>
      <c r="F890" s="21"/>
    </row>
    <row r="891" spans="2:6">
      <c r="B891" s="19"/>
      <c r="C891" s="19"/>
      <c r="D891" s="20"/>
      <c r="E891" s="21"/>
      <c r="F891" s="21"/>
    </row>
    <row r="892" spans="2:6">
      <c r="B892" s="19"/>
      <c r="C892" s="19"/>
      <c r="D892" s="20"/>
      <c r="E892" s="21"/>
      <c r="F892" s="21"/>
    </row>
    <row r="893" spans="2:6">
      <c r="B893" s="19"/>
      <c r="C893" s="19"/>
      <c r="D893" s="20"/>
      <c r="E893" s="21"/>
      <c r="F893" s="21"/>
    </row>
    <row r="894" spans="2:6">
      <c r="B894" s="19"/>
      <c r="C894" s="19"/>
      <c r="D894" s="20"/>
      <c r="E894" s="21"/>
      <c r="F894" s="21"/>
    </row>
    <row r="895" spans="2:6">
      <c r="B895" s="19"/>
      <c r="C895" s="19"/>
      <c r="D895" s="20"/>
      <c r="E895" s="21"/>
      <c r="F895" s="21"/>
    </row>
    <row r="896" spans="2:6">
      <c r="B896" s="19"/>
      <c r="C896" s="19"/>
      <c r="D896" s="20"/>
      <c r="E896" s="21"/>
      <c r="F896" s="21"/>
    </row>
    <row r="897" spans="2:6">
      <c r="B897" s="19"/>
      <c r="C897" s="19"/>
      <c r="D897" s="20"/>
      <c r="E897" s="21"/>
      <c r="F897" s="21"/>
    </row>
    <row r="898" spans="2:6">
      <c r="B898" s="19"/>
      <c r="C898" s="19"/>
      <c r="D898" s="20"/>
      <c r="E898" s="21"/>
      <c r="F898" s="21"/>
    </row>
    <row r="899" spans="2:6">
      <c r="B899" s="19"/>
      <c r="C899" s="19"/>
      <c r="D899" s="20"/>
      <c r="E899" s="21"/>
      <c r="F899" s="21"/>
    </row>
    <row r="900" spans="2:6">
      <c r="B900" s="19"/>
      <c r="C900" s="19"/>
      <c r="D900" s="20"/>
      <c r="E900" s="21"/>
      <c r="F900" s="21"/>
    </row>
    <row r="901" spans="2:6">
      <c r="B901" s="19"/>
      <c r="C901" s="19"/>
      <c r="D901" s="20"/>
      <c r="E901" s="21"/>
      <c r="F901" s="21"/>
    </row>
    <row r="902" spans="2:6">
      <c r="B902" s="19"/>
      <c r="C902" s="19"/>
      <c r="D902" s="20"/>
      <c r="E902" s="21"/>
      <c r="F902" s="21"/>
    </row>
    <row r="903" spans="2:6">
      <c r="B903" s="19"/>
      <c r="C903" s="19"/>
      <c r="D903" s="20"/>
      <c r="E903" s="21"/>
      <c r="F903" s="21"/>
    </row>
    <row r="904" spans="2:6">
      <c r="B904" s="19"/>
      <c r="C904" s="19"/>
      <c r="D904" s="20"/>
      <c r="E904" s="21"/>
      <c r="F904" s="21"/>
    </row>
    <row r="905" spans="2:6">
      <c r="B905" s="19"/>
      <c r="C905" s="19"/>
      <c r="D905" s="20"/>
      <c r="E905" s="21"/>
      <c r="F905" s="21"/>
    </row>
    <row r="906" spans="2:6">
      <c r="B906" s="19"/>
      <c r="C906" s="19"/>
      <c r="D906" s="20"/>
      <c r="E906" s="21"/>
      <c r="F906" s="21"/>
    </row>
    <row r="907" spans="2:6">
      <c r="B907" s="19"/>
      <c r="C907" s="19"/>
      <c r="D907" s="20"/>
      <c r="E907" s="21"/>
      <c r="F907" s="21"/>
    </row>
    <row r="908" spans="2:6">
      <c r="B908" s="19"/>
      <c r="C908" s="19"/>
      <c r="D908" s="20"/>
      <c r="E908" s="21"/>
      <c r="F908" s="21"/>
    </row>
    <row r="909" spans="2:6">
      <c r="B909" s="19"/>
      <c r="C909" s="19"/>
      <c r="D909" s="20"/>
      <c r="E909" s="21"/>
      <c r="F909" s="21"/>
    </row>
    <row r="910" spans="2:6">
      <c r="B910" s="19"/>
      <c r="C910" s="19"/>
      <c r="D910" s="20"/>
      <c r="E910" s="21"/>
      <c r="F910" s="21"/>
    </row>
    <row r="911" spans="2:6">
      <c r="B911" s="19"/>
      <c r="C911" s="19"/>
      <c r="D911" s="20"/>
      <c r="E911" s="21"/>
      <c r="F911" s="21"/>
    </row>
    <row r="912" spans="2:6">
      <c r="B912" s="19"/>
      <c r="C912" s="19"/>
      <c r="D912" s="20"/>
      <c r="E912" s="21"/>
      <c r="F912" s="21"/>
    </row>
    <row r="913" spans="2:6">
      <c r="B913" s="19"/>
      <c r="C913" s="19"/>
      <c r="D913" s="20"/>
      <c r="E913" s="21"/>
      <c r="F913" s="21"/>
    </row>
    <row r="914" spans="2:6">
      <c r="B914" s="19"/>
      <c r="C914" s="19"/>
      <c r="D914" s="20"/>
      <c r="E914" s="21"/>
      <c r="F914" s="21"/>
    </row>
    <row r="915" spans="2:6">
      <c r="B915" s="19"/>
      <c r="C915" s="19"/>
      <c r="D915" s="20"/>
      <c r="E915" s="21"/>
      <c r="F915" s="21"/>
    </row>
    <row r="916" spans="2:6">
      <c r="B916" s="19"/>
      <c r="C916" s="19"/>
      <c r="D916" s="20"/>
      <c r="E916" s="21"/>
      <c r="F916" s="21"/>
    </row>
    <row r="917" spans="2:6">
      <c r="B917" s="19"/>
      <c r="C917" s="19"/>
      <c r="D917" s="20"/>
      <c r="E917" s="21"/>
      <c r="F917" s="21"/>
    </row>
    <row r="918" spans="2:6">
      <c r="B918" s="19"/>
      <c r="C918" s="19"/>
      <c r="D918" s="20"/>
      <c r="E918" s="21"/>
      <c r="F918" s="21"/>
    </row>
    <row r="919" spans="2:6">
      <c r="B919" s="19"/>
      <c r="C919" s="19"/>
      <c r="D919" s="20"/>
      <c r="E919" s="21"/>
      <c r="F919" s="21"/>
    </row>
    <row r="920" spans="2:6">
      <c r="B920" s="19"/>
      <c r="C920" s="19"/>
      <c r="D920" s="20"/>
      <c r="E920" s="21"/>
      <c r="F920" s="21"/>
    </row>
    <row r="921" spans="2:6">
      <c r="B921" s="19"/>
      <c r="C921" s="19"/>
      <c r="D921" s="20"/>
      <c r="E921" s="21"/>
      <c r="F921" s="21"/>
    </row>
    <row r="922" spans="2:6">
      <c r="B922" s="19"/>
      <c r="C922" s="19"/>
      <c r="D922" s="20"/>
      <c r="E922" s="21"/>
      <c r="F922" s="21"/>
    </row>
    <row r="923" spans="2:6">
      <c r="B923" s="19"/>
      <c r="C923" s="19"/>
      <c r="D923" s="20"/>
      <c r="E923" s="21"/>
      <c r="F923" s="21"/>
    </row>
    <row r="924" spans="2:6">
      <c r="B924" s="19"/>
      <c r="C924" s="19"/>
      <c r="D924" s="20"/>
      <c r="E924" s="21"/>
      <c r="F924" s="21"/>
    </row>
    <row r="925" spans="2:6">
      <c r="B925" s="19"/>
      <c r="C925" s="19"/>
      <c r="D925" s="20"/>
      <c r="E925" s="21"/>
      <c r="F925" s="21"/>
    </row>
    <row r="926" spans="2:6">
      <c r="B926" s="19"/>
      <c r="C926" s="19"/>
      <c r="D926" s="20"/>
      <c r="E926" s="21"/>
      <c r="F926" s="21"/>
    </row>
    <row r="927" spans="2:6">
      <c r="B927" s="19"/>
      <c r="C927" s="19"/>
      <c r="D927" s="20"/>
      <c r="E927" s="21"/>
      <c r="F927" s="21"/>
    </row>
    <row r="928" spans="2:6">
      <c r="B928" s="19"/>
      <c r="C928" s="19"/>
      <c r="D928" s="20"/>
      <c r="E928" s="21"/>
      <c r="F928" s="21"/>
    </row>
    <row r="929" spans="2:6">
      <c r="B929" s="19"/>
      <c r="C929" s="19"/>
      <c r="D929" s="20"/>
      <c r="E929" s="21"/>
      <c r="F929" s="21"/>
    </row>
    <row r="930" spans="2:6">
      <c r="B930" s="19"/>
      <c r="C930" s="19"/>
      <c r="D930" s="20"/>
      <c r="E930" s="21"/>
      <c r="F930" s="21"/>
    </row>
    <row r="931" spans="2:6">
      <c r="B931" s="19"/>
      <c r="C931" s="19"/>
      <c r="D931" s="20"/>
      <c r="E931" s="21"/>
      <c r="F931" s="21"/>
    </row>
    <row r="932" spans="2:6">
      <c r="B932" s="19"/>
      <c r="C932" s="19"/>
      <c r="D932" s="20"/>
      <c r="E932" s="21"/>
      <c r="F932" s="21"/>
    </row>
    <row r="933" spans="2:6">
      <c r="B933" s="19"/>
      <c r="C933" s="19"/>
      <c r="D933" s="20"/>
      <c r="E933" s="21"/>
      <c r="F933" s="21"/>
    </row>
    <row r="934" spans="2:6">
      <c r="B934" s="19"/>
      <c r="C934" s="19"/>
      <c r="D934" s="20"/>
      <c r="E934" s="21"/>
      <c r="F934" s="21"/>
    </row>
    <row r="935" spans="2:6">
      <c r="B935" s="19"/>
      <c r="C935" s="19"/>
      <c r="D935" s="20"/>
      <c r="E935" s="21"/>
      <c r="F935" s="21"/>
    </row>
    <row r="936" spans="2:6">
      <c r="B936" s="19"/>
      <c r="C936" s="19"/>
      <c r="D936" s="20"/>
      <c r="E936" s="21"/>
      <c r="F936" s="21"/>
    </row>
    <row r="937" spans="2:6">
      <c r="B937" s="19"/>
      <c r="C937" s="19"/>
      <c r="D937" s="20"/>
      <c r="E937" s="21"/>
      <c r="F937" s="21"/>
    </row>
    <row r="938" spans="2:6">
      <c r="B938" s="19"/>
      <c r="C938" s="19"/>
      <c r="D938" s="20"/>
      <c r="E938" s="21"/>
      <c r="F938" s="21"/>
    </row>
    <row r="939" spans="2:6">
      <c r="B939" s="19"/>
      <c r="C939" s="19"/>
      <c r="D939" s="20"/>
      <c r="E939" s="21"/>
      <c r="F939" s="21"/>
    </row>
    <row r="940" spans="2:6">
      <c r="B940" s="19"/>
      <c r="C940" s="19"/>
      <c r="D940" s="20"/>
      <c r="E940" s="21"/>
      <c r="F940" s="21"/>
    </row>
    <row r="941" spans="2:6">
      <c r="B941" s="19"/>
      <c r="C941" s="19"/>
      <c r="D941" s="20"/>
      <c r="E941" s="21"/>
      <c r="F941" s="21"/>
    </row>
    <row r="942" spans="2:6">
      <c r="B942" s="19"/>
      <c r="C942" s="19"/>
      <c r="D942" s="20"/>
      <c r="E942" s="21"/>
      <c r="F942" s="21"/>
    </row>
    <row r="943" spans="2:6">
      <c r="B943" s="19"/>
      <c r="C943" s="19"/>
      <c r="D943" s="20"/>
      <c r="E943" s="21"/>
      <c r="F943" s="21"/>
    </row>
    <row r="944" spans="2:6">
      <c r="B944" s="19"/>
      <c r="C944" s="19"/>
      <c r="D944" s="20"/>
      <c r="E944" s="21"/>
      <c r="F944" s="21"/>
    </row>
    <row r="945" spans="2:6">
      <c r="B945" s="19"/>
      <c r="C945" s="19"/>
      <c r="D945" s="20"/>
      <c r="E945" s="21"/>
      <c r="F945" s="21"/>
    </row>
    <row r="946" spans="2:6">
      <c r="B946" s="19"/>
      <c r="C946" s="19"/>
      <c r="D946" s="20"/>
      <c r="E946" s="21"/>
      <c r="F946" s="21"/>
    </row>
    <row r="947" spans="2:6">
      <c r="B947" s="19"/>
      <c r="C947" s="19"/>
      <c r="D947" s="20"/>
      <c r="E947" s="21"/>
      <c r="F947" s="21"/>
    </row>
    <row r="948" spans="2:6">
      <c r="B948" s="19"/>
      <c r="C948" s="19"/>
      <c r="D948" s="20"/>
      <c r="E948" s="21"/>
      <c r="F948" s="21"/>
    </row>
    <row r="949" spans="2:6">
      <c r="B949" s="19"/>
      <c r="C949" s="19"/>
      <c r="D949" s="20"/>
      <c r="E949" s="21"/>
      <c r="F949" s="21"/>
    </row>
    <row r="950" spans="2:6">
      <c r="B950" s="19"/>
      <c r="C950" s="19"/>
      <c r="D950" s="20"/>
      <c r="E950" s="21"/>
      <c r="F950" s="21"/>
    </row>
    <row r="951" spans="2:6">
      <c r="B951" s="19"/>
      <c r="C951" s="19"/>
      <c r="D951" s="20"/>
      <c r="E951" s="21"/>
      <c r="F951" s="21"/>
    </row>
    <row r="952" spans="2:6">
      <c r="B952" s="19"/>
      <c r="C952" s="19"/>
      <c r="D952" s="20"/>
      <c r="E952" s="21"/>
      <c r="F952" s="21"/>
    </row>
    <row r="953" spans="2:6">
      <c r="B953" s="19"/>
      <c r="C953" s="19"/>
      <c r="D953" s="20"/>
      <c r="E953" s="21"/>
      <c r="F953" s="21"/>
    </row>
    <row r="954" spans="2:6">
      <c r="B954" s="19"/>
      <c r="C954" s="19"/>
      <c r="D954" s="20"/>
      <c r="E954" s="21"/>
      <c r="F954" s="21"/>
    </row>
    <row r="955" spans="2:6">
      <c r="B955" s="19"/>
      <c r="C955" s="19"/>
      <c r="D955" s="20"/>
      <c r="E955" s="21"/>
      <c r="F955" s="21"/>
    </row>
    <row r="956" spans="2:6">
      <c r="B956" s="19"/>
      <c r="C956" s="19"/>
      <c r="D956" s="20"/>
      <c r="E956" s="21"/>
      <c r="F956" s="21"/>
    </row>
    <row r="957" spans="2:6">
      <c r="B957" s="19"/>
      <c r="C957" s="19"/>
      <c r="D957" s="20"/>
      <c r="E957" s="21"/>
      <c r="F957" s="21"/>
    </row>
    <row r="958" spans="2:6">
      <c r="B958" s="19"/>
      <c r="C958" s="19"/>
      <c r="D958" s="20"/>
      <c r="E958" s="21"/>
      <c r="F958" s="21"/>
    </row>
    <row r="959" spans="2:6">
      <c r="B959" s="19"/>
      <c r="C959" s="19"/>
      <c r="D959" s="20"/>
      <c r="E959" s="21"/>
      <c r="F959" s="21"/>
    </row>
    <row r="960" spans="2:6">
      <c r="B960" s="19"/>
      <c r="C960" s="19"/>
      <c r="D960" s="20"/>
      <c r="E960" s="21"/>
      <c r="F960" s="21"/>
    </row>
    <row r="961" spans="2:6">
      <c r="B961" s="19"/>
      <c r="C961" s="19"/>
      <c r="D961" s="20"/>
      <c r="E961" s="21"/>
      <c r="F961" s="21"/>
    </row>
    <row r="962" spans="2:6">
      <c r="B962" s="19"/>
      <c r="C962" s="19"/>
      <c r="D962" s="20"/>
      <c r="E962" s="21"/>
      <c r="F962" s="21"/>
    </row>
    <row r="963" spans="2:6">
      <c r="B963" s="19"/>
      <c r="C963" s="19"/>
      <c r="D963" s="20"/>
      <c r="E963" s="21"/>
      <c r="F963" s="21"/>
    </row>
    <row r="964" spans="2:6">
      <c r="B964" s="19"/>
      <c r="C964" s="19"/>
      <c r="D964" s="20"/>
      <c r="E964" s="21"/>
      <c r="F964" s="21"/>
    </row>
    <row r="965" spans="2:6">
      <c r="B965" s="19"/>
      <c r="C965" s="19"/>
      <c r="D965" s="20"/>
      <c r="E965" s="21"/>
      <c r="F965" s="21"/>
    </row>
    <row r="966" spans="2:6">
      <c r="B966" s="19"/>
      <c r="C966" s="19"/>
      <c r="D966" s="20"/>
      <c r="E966" s="21"/>
      <c r="F966" s="21"/>
    </row>
    <row r="967" spans="2:6">
      <c r="B967" s="19"/>
      <c r="C967" s="19"/>
      <c r="D967" s="20"/>
      <c r="E967" s="21"/>
      <c r="F967" s="21"/>
    </row>
    <row r="968" spans="2:6">
      <c r="B968" s="19"/>
      <c r="C968" s="19"/>
      <c r="D968" s="20"/>
      <c r="E968" s="21"/>
      <c r="F968" s="21"/>
    </row>
    <row r="969" spans="2:6">
      <c r="B969" s="19"/>
      <c r="C969" s="19"/>
      <c r="D969" s="20"/>
      <c r="E969" s="21"/>
      <c r="F969" s="21"/>
    </row>
    <row r="970" spans="2:6">
      <c r="B970" s="19"/>
      <c r="C970" s="19"/>
      <c r="D970" s="20"/>
      <c r="E970" s="21"/>
      <c r="F970" s="21"/>
    </row>
    <row r="971" spans="2:6">
      <c r="B971" s="19"/>
      <c r="C971" s="19"/>
      <c r="D971" s="20"/>
      <c r="E971" s="21"/>
      <c r="F971" s="21"/>
    </row>
    <row r="972" spans="2:6">
      <c r="B972" s="19"/>
      <c r="C972" s="19"/>
      <c r="D972" s="20"/>
      <c r="E972" s="21"/>
      <c r="F972" s="21"/>
    </row>
    <row r="973" spans="2:6">
      <c r="B973" s="19"/>
      <c r="C973" s="19"/>
      <c r="D973" s="20"/>
      <c r="E973" s="21"/>
      <c r="F973" s="21"/>
    </row>
    <row r="974" spans="2:6">
      <c r="B974" s="19"/>
      <c r="C974" s="19"/>
      <c r="D974" s="20"/>
      <c r="E974" s="21"/>
      <c r="F974" s="21"/>
    </row>
    <row r="975" spans="2:6">
      <c r="B975" s="19"/>
      <c r="C975" s="19"/>
      <c r="D975" s="20"/>
      <c r="E975" s="21"/>
      <c r="F975" s="21"/>
    </row>
    <row r="976" spans="2:6">
      <c r="B976" s="19"/>
      <c r="C976" s="19"/>
      <c r="D976" s="20"/>
      <c r="E976" s="21"/>
      <c r="F976" s="21"/>
    </row>
    <row r="977" spans="2:6">
      <c r="B977" s="19"/>
      <c r="C977" s="19"/>
      <c r="D977" s="20"/>
      <c r="E977" s="21"/>
      <c r="F977" s="21"/>
    </row>
    <row r="978" spans="2:6">
      <c r="B978" s="19"/>
      <c r="C978" s="19"/>
      <c r="D978" s="20"/>
      <c r="E978" s="21"/>
      <c r="F978" s="21"/>
    </row>
    <row r="979" spans="2:6">
      <c r="B979" s="19"/>
      <c r="C979" s="19"/>
      <c r="D979" s="20"/>
      <c r="E979" s="21"/>
      <c r="F979" s="21"/>
    </row>
    <row r="980" spans="2:6">
      <c r="B980" s="19"/>
      <c r="C980" s="19"/>
      <c r="D980" s="20"/>
      <c r="E980" s="21"/>
      <c r="F980" s="21"/>
    </row>
    <row r="981" spans="2:6">
      <c r="B981" s="19"/>
      <c r="C981" s="19"/>
      <c r="D981" s="20"/>
      <c r="E981" s="21"/>
      <c r="F981" s="21"/>
    </row>
    <row r="982" spans="2:6">
      <c r="B982" s="19"/>
      <c r="C982" s="19"/>
      <c r="D982" s="20"/>
      <c r="E982" s="21"/>
      <c r="F982" s="21"/>
    </row>
    <row r="983" spans="2:6">
      <c r="B983" s="19"/>
      <c r="C983" s="19"/>
      <c r="D983" s="20"/>
      <c r="E983" s="21"/>
      <c r="F983" s="21"/>
    </row>
    <row r="984" spans="2:6">
      <c r="B984" s="19"/>
      <c r="C984" s="19"/>
      <c r="D984" s="20"/>
      <c r="E984" s="21"/>
      <c r="F984" s="21"/>
    </row>
    <row r="985" spans="2:6">
      <c r="B985" s="19"/>
      <c r="C985" s="19"/>
      <c r="D985" s="20"/>
      <c r="E985" s="21"/>
      <c r="F985" s="21"/>
    </row>
    <row r="986" spans="2:6">
      <c r="B986" s="19"/>
      <c r="C986" s="19"/>
      <c r="D986" s="20"/>
      <c r="E986" s="21"/>
      <c r="F986" s="21"/>
    </row>
    <row r="987" spans="2:6">
      <c r="B987" s="19"/>
      <c r="C987" s="19"/>
      <c r="D987" s="20"/>
      <c r="E987" s="21"/>
      <c r="F987" s="21"/>
    </row>
    <row r="988" spans="2:6">
      <c r="B988" s="19"/>
      <c r="C988" s="19"/>
      <c r="D988" s="20"/>
      <c r="E988" s="21"/>
      <c r="F988" s="21"/>
    </row>
    <row r="989" spans="2:6">
      <c r="B989" s="19"/>
      <c r="C989" s="19"/>
      <c r="D989" s="20"/>
      <c r="E989" s="21"/>
      <c r="F989" s="21"/>
    </row>
    <row r="990" spans="2:6">
      <c r="B990" s="19"/>
      <c r="C990" s="19"/>
      <c r="D990" s="20"/>
      <c r="E990" s="21"/>
      <c r="F990" s="21"/>
    </row>
  </sheetData>
  <phoneticPr fontId="14" type="noConversion"/>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국민평가_60대이상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Young Joon</dc:creator>
  <cp:lastModifiedBy>Windows 사용자</cp:lastModifiedBy>
  <dcterms:created xsi:type="dcterms:W3CDTF">2026-01-29T05:57:16Z</dcterms:created>
  <dcterms:modified xsi:type="dcterms:W3CDTF">2026-01-29T06:04:10Z</dcterms:modified>
</cp:coreProperties>
</file>